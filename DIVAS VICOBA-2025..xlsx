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filterPrivacy="1" codeName="ThisWorkbook"/>
  <xr:revisionPtr revIDLastSave="0" documentId="13_ncr:1_{3C75FF36-77CD-F34E-B26E-838C56907BCB}" xr6:coauthVersionLast="47" xr6:coauthVersionMax="47" xr10:uidLastSave="{00000000-0000-0000-0000-000000000000}"/>
  <bookViews>
    <workbookView xWindow="0" yWindow="500" windowWidth="28800" windowHeight="15840" tabRatio="631" xr2:uid="{00000000-000D-0000-FFFF-FFFF00000000}"/>
  </bookViews>
  <sheets>
    <sheet name="SUMMARY" sheetId="1" r:id="rId1"/>
    <sheet name="HISA" sheetId="2" r:id="rId2"/>
    <sheet name="JAMII" sheetId="3" r:id="rId3"/>
    <sheet name="FAINI" sheetId="12" r:id="rId4"/>
    <sheet name="MIKOPO NA RIBA" sheetId="13" r:id="rId5"/>
    <sheet name="MAREJESHO" sheetId="16" r:id="rId6"/>
    <sheet name="CASHFLOW" sheetId="11" state="hidden" r:id="rId7"/>
  </sheets>
  <definedNames>
    <definedName name="Z_B2A5A4D4_6CB8_42F5_BC08_2FAB393FA19C_.wvu.Rows" localSheetId="0" hidden="1">SUMMARY!$45:$85</definedName>
  </definedNames>
  <calcPr calcId="191029"/>
  <customWorkbookViews>
    <customWorkbookView name="HH" guid="{B2A5A4D4-6CB8-42F5-BC08-2FAB393FA19C}" xWindow="-1" yWindow="-1" windowWidth="1922" windowHeight="1042" tabRatio="631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16" l="1"/>
  <c r="D18" i="16" s="1"/>
  <c r="AG28" i="13"/>
  <c r="H23" i="2"/>
  <c r="AK28" i="13"/>
  <c r="E17" i="16"/>
  <c r="AC28" i="13"/>
  <c r="AC27" i="13"/>
  <c r="Q27" i="13"/>
  <c r="Y29" i="13"/>
  <c r="Y28" i="13"/>
  <c r="Y27" i="13"/>
  <c r="E20" i="16"/>
  <c r="BE26" i="13"/>
  <c r="BY29" i="13"/>
  <c r="CC29" i="13"/>
  <c r="L16" i="16"/>
  <c r="L10" i="16"/>
  <c r="L21" i="16"/>
  <c r="E19" i="16"/>
  <c r="L5" i="16"/>
  <c r="E13" i="16"/>
  <c r="L15" i="16"/>
  <c r="E21" i="16"/>
  <c r="G23" i="2"/>
  <c r="BY28" i="13"/>
  <c r="R16" i="2"/>
  <c r="C23" i="2"/>
  <c r="F23" i="2"/>
  <c r="CC28" i="13"/>
  <c r="E12" i="16"/>
  <c r="N28" i="13"/>
  <c r="N37" i="13" s="1"/>
  <c r="AG27" i="13"/>
  <c r="AK27" i="13"/>
  <c r="E11" i="16"/>
  <c r="I28" i="13"/>
  <c r="AO26" i="13"/>
  <c r="AO27" i="13" s="1"/>
  <c r="D21" i="16"/>
  <c r="AS28" i="13"/>
  <c r="BY27" i="13"/>
  <c r="P3" i="12"/>
  <c r="AG26" i="13"/>
  <c r="I27" i="13"/>
  <c r="AK26" i="13"/>
  <c r="E26" i="13"/>
  <c r="E23" i="2"/>
  <c r="Q22" i="3"/>
  <c r="E10" i="16"/>
  <c r="AC26" i="13"/>
  <c r="Y26" i="13"/>
  <c r="I26" i="13"/>
  <c r="L4" i="16"/>
  <c r="AW26" i="13"/>
  <c r="AO25" i="13"/>
  <c r="AK24" i="13"/>
  <c r="Q26" i="13"/>
  <c r="AC24" i="13"/>
  <c r="Y24" i="13"/>
  <c r="Y25" i="13" s="1"/>
  <c r="U24" i="13"/>
  <c r="U25" i="13" s="1"/>
  <c r="U26" i="13" s="1"/>
  <c r="U27" i="13" s="1"/>
  <c r="U28" i="13" s="1"/>
  <c r="AS25" i="13"/>
  <c r="AS26" i="13" s="1"/>
  <c r="AS27" i="13" s="1"/>
  <c r="E21" i="1"/>
  <c r="F21" i="12"/>
  <c r="C21" i="12"/>
  <c r="O3" i="12"/>
  <c r="F21" i="1"/>
  <c r="P21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D23" i="2"/>
  <c r="P5" i="2"/>
  <c r="BU26" i="13"/>
  <c r="BT17" i="13"/>
  <c r="BQ25" i="13"/>
  <c r="BT37" i="13"/>
  <c r="BS37" i="13"/>
  <c r="BR37" i="13"/>
  <c r="BP37" i="13"/>
  <c r="BO37" i="13"/>
  <c r="BN37" i="13"/>
  <c r="AK25" i="13"/>
  <c r="BE24" i="13"/>
  <c r="BE25" i="13" s="1"/>
  <c r="AC25" i="13"/>
  <c r="AG25" i="13"/>
  <c r="AW25" i="13"/>
  <c r="BA25" i="13"/>
  <c r="BI25" i="13"/>
  <c r="BM25" i="13"/>
  <c r="R37" i="13"/>
  <c r="S37" i="13"/>
  <c r="T37" i="13"/>
  <c r="V37" i="13"/>
  <c r="W37" i="13"/>
  <c r="X37" i="13"/>
  <c r="Z37" i="13"/>
  <c r="AA37" i="13"/>
  <c r="AB37" i="13"/>
  <c r="AD37" i="13"/>
  <c r="AE37" i="13"/>
  <c r="AF37" i="13"/>
  <c r="AH37" i="13"/>
  <c r="AI37" i="13"/>
  <c r="AJ37" i="13"/>
  <c r="AL37" i="13"/>
  <c r="AM37" i="13"/>
  <c r="AN37" i="13"/>
  <c r="AP37" i="13"/>
  <c r="AQ37" i="13"/>
  <c r="AR37" i="13"/>
  <c r="AT37" i="13"/>
  <c r="AU37" i="13"/>
  <c r="AV37" i="13"/>
  <c r="AX37" i="13"/>
  <c r="AY37" i="13"/>
  <c r="AZ37" i="13"/>
  <c r="BB37" i="13"/>
  <c r="BC37" i="13"/>
  <c r="BD37" i="13"/>
  <c r="BF37" i="13"/>
  <c r="BG37" i="13"/>
  <c r="BH37" i="13"/>
  <c r="BJ37" i="13"/>
  <c r="BK37" i="13"/>
  <c r="BL37" i="13"/>
  <c r="L7" i="16"/>
  <c r="L6" i="16"/>
  <c r="Q25" i="13"/>
  <c r="BD17" i="13"/>
  <c r="E25" i="13"/>
  <c r="AN17" i="13"/>
  <c r="AV17" i="13"/>
  <c r="I25" i="13"/>
  <c r="BP17" i="13"/>
  <c r="P37" i="13"/>
  <c r="O37" i="13"/>
  <c r="L37" i="13"/>
  <c r="K37" i="13"/>
  <c r="J37" i="13"/>
  <c r="H37" i="13"/>
  <c r="G37" i="13"/>
  <c r="F37" i="13"/>
  <c r="D37" i="13"/>
  <c r="C37" i="13"/>
  <c r="B37" i="13"/>
  <c r="AF17" i="13"/>
  <c r="B21" i="12"/>
  <c r="D21" i="12"/>
  <c r="E21" i="12"/>
  <c r="H21" i="12"/>
  <c r="I21" i="12"/>
  <c r="J21" i="12"/>
  <c r="K21" i="12"/>
  <c r="L21" i="12"/>
  <c r="C22" i="3"/>
  <c r="D22" i="3"/>
  <c r="E22" i="3"/>
  <c r="F22" i="3"/>
  <c r="G22" i="3"/>
  <c r="H22" i="3"/>
  <c r="I22" i="3"/>
  <c r="J22" i="3"/>
  <c r="K22" i="3"/>
  <c r="L22" i="3"/>
  <c r="M22" i="3"/>
  <c r="E9" i="16"/>
  <c r="P19" i="2"/>
  <c r="H17" i="13"/>
  <c r="AJ17" i="13"/>
  <c r="AZ17" i="13"/>
  <c r="BU14" i="13" l="1"/>
  <c r="BS17" i="13"/>
  <c r="BR17" i="13"/>
  <c r="BU13" i="13"/>
  <c r="O4" i="12"/>
  <c r="O5" i="12"/>
  <c r="P5" i="12" s="1"/>
  <c r="O6" i="12"/>
  <c r="P6" i="12" s="1"/>
  <c r="O7" i="12"/>
  <c r="O8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BU15" i="13" l="1"/>
  <c r="BU16" i="13" s="1"/>
  <c r="J3" i="11"/>
  <c r="M6" i="16"/>
  <c r="M15" i="16"/>
  <c r="E16" i="16"/>
  <c r="D19" i="16"/>
  <c r="D11" i="16"/>
  <c r="M5" i="16"/>
  <c r="M7" i="16"/>
  <c r="M8" i="16"/>
  <c r="M9" i="16"/>
  <c r="M10" i="16"/>
  <c r="M11" i="16"/>
  <c r="M12" i="16"/>
  <c r="M13" i="16"/>
  <c r="M14" i="16"/>
  <c r="M16" i="16"/>
  <c r="M17" i="16"/>
  <c r="M18" i="16"/>
  <c r="M19" i="16"/>
  <c r="M20" i="16"/>
  <c r="M21" i="16"/>
  <c r="BQ13" i="13"/>
  <c r="BQ14" i="13" s="1"/>
  <c r="BQ15" i="13" s="1"/>
  <c r="BQ16" i="13" s="1"/>
  <c r="J15" i="11"/>
  <c r="I15" i="11"/>
  <c r="BO17" i="13"/>
  <c r="BN17" i="13"/>
  <c r="E14" i="16"/>
  <c r="D14" i="16" s="1"/>
  <c r="E8" i="16"/>
  <c r="D8" i="16" s="1"/>
  <c r="E15" i="16"/>
  <c r="D15" i="16" s="1"/>
  <c r="M4" i="16"/>
  <c r="D21" i="11"/>
  <c r="H15" i="11"/>
  <c r="E7" i="16"/>
  <c r="BM12" i="13"/>
  <c r="BM13" i="13" s="1"/>
  <c r="BM14" i="13" s="1"/>
  <c r="BM15" i="13" s="1"/>
  <c r="BM16" i="13" s="1"/>
  <c r="BL17" i="13"/>
  <c r="BK17" i="13"/>
  <c r="BJ17" i="13"/>
  <c r="D10" i="16"/>
  <c r="D9" i="16"/>
  <c r="D13" i="16"/>
  <c r="D17" i="16"/>
  <c r="BI11" i="13"/>
  <c r="BH17" i="13"/>
  <c r="BG17" i="13"/>
  <c r="BF17" i="13"/>
  <c r="BI10" i="13"/>
  <c r="BI12" i="13" s="1"/>
  <c r="BI13" i="13" s="1"/>
  <c r="BI14" i="13" s="1"/>
  <c r="BI15" i="13" s="1"/>
  <c r="BA10" i="13"/>
  <c r="BE10" i="13"/>
  <c r="BE11" i="13" s="1"/>
  <c r="BE12" i="13" s="1"/>
  <c r="BE13" i="13" s="1"/>
  <c r="BE14" i="13" s="1"/>
  <c r="BE15" i="13" s="1"/>
  <c r="BE16" i="13" s="1"/>
  <c r="BC17" i="13"/>
  <c r="BB17" i="13"/>
  <c r="K22" i="16"/>
  <c r="E5" i="16"/>
  <c r="D20" i="16"/>
  <c r="AW9" i="13"/>
  <c r="AW10" i="13" s="1"/>
  <c r="D7" i="16"/>
  <c r="D5" i="16"/>
  <c r="D16" i="16"/>
  <c r="F15" i="11"/>
  <c r="G15" i="11"/>
  <c r="E6" i="16"/>
  <c r="D6" i="16" s="1"/>
  <c r="C22" i="16"/>
  <c r="E23" i="1"/>
  <c r="BA11" i="13"/>
  <c r="BA12" i="13" s="1"/>
  <c r="BA13" i="13" s="1"/>
  <c r="BA14" i="13" s="1"/>
  <c r="BA15" i="13" s="1"/>
  <c r="BA16" i="13" s="1"/>
  <c r="AY17" i="13"/>
  <c r="AX17" i="13"/>
  <c r="D12" i="16"/>
  <c r="E4" i="16"/>
  <c r="E15" i="11"/>
  <c r="D4" i="16"/>
  <c r="AU17" i="13"/>
  <c r="AT17" i="13"/>
  <c r="AW8" i="13"/>
  <c r="AW7" i="13"/>
  <c r="AR17" i="13"/>
  <c r="AQ17" i="13"/>
  <c r="AP17" i="13"/>
  <c r="AS8" i="13"/>
  <c r="AS9" i="13" s="1"/>
  <c r="AS10" i="13" s="1"/>
  <c r="AS11" i="13" s="1"/>
  <c r="AS12" i="13" s="1"/>
  <c r="AS13" i="13" s="1"/>
  <c r="AS14" i="13" s="1"/>
  <c r="AS15" i="13" s="1"/>
  <c r="AS7" i="13"/>
  <c r="C3" i="11"/>
  <c r="D15" i="11"/>
  <c r="C15" i="11"/>
  <c r="B15" i="11"/>
  <c r="C4" i="11"/>
  <c r="B4" i="11"/>
  <c r="AO8" i="13"/>
  <c r="AO9" i="13" s="1"/>
  <c r="AO10" i="13" s="1"/>
  <c r="AO11" i="13" s="1"/>
  <c r="AO12" i="13" s="1"/>
  <c r="AO13" i="13" s="1"/>
  <c r="AO14" i="13" s="1"/>
  <c r="AO15" i="13" s="1"/>
  <c r="AO16" i="13" s="1"/>
  <c r="AM17" i="13"/>
  <c r="AL17" i="13"/>
  <c r="AO7" i="13"/>
  <c r="G6" i="1"/>
  <c r="G10" i="1"/>
  <c r="AK7" i="13"/>
  <c r="AK8" i="13" s="1"/>
  <c r="AK9" i="13" s="1"/>
  <c r="AK10" i="13" s="1"/>
  <c r="AK11" i="13" s="1"/>
  <c r="AK12" i="13" s="1"/>
  <c r="AK13" i="13" s="1"/>
  <c r="AK14" i="13" s="1"/>
  <c r="AK15" i="13" s="1"/>
  <c r="AK16" i="13" s="1"/>
  <c r="AG6" i="13"/>
  <c r="AG7" i="13" s="1"/>
  <c r="AG8" i="13" s="1"/>
  <c r="AG9" i="13" s="1"/>
  <c r="AG10" i="13" s="1"/>
  <c r="AG11" i="13" s="1"/>
  <c r="AG12" i="13" s="1"/>
  <c r="AG13" i="13" s="1"/>
  <c r="AG14" i="13" s="1"/>
  <c r="AG15" i="13" s="1"/>
  <c r="AG16" i="13" s="1"/>
  <c r="AC6" i="13"/>
  <c r="AC7" i="13" s="1"/>
  <c r="AC8" i="13" s="1"/>
  <c r="AC9" i="13" s="1"/>
  <c r="AC10" i="13" s="1"/>
  <c r="AC11" i="13" s="1"/>
  <c r="AC12" i="13" s="1"/>
  <c r="AC13" i="13" s="1"/>
  <c r="AC14" i="13" s="1"/>
  <c r="AC15" i="13" s="1"/>
  <c r="G14" i="1"/>
  <c r="Y5" i="13"/>
  <c r="Y6" i="13" s="1"/>
  <c r="Y7" i="13" s="1"/>
  <c r="Y8" i="13" s="1"/>
  <c r="Y9" i="13" s="1"/>
  <c r="Y10" i="13" s="1"/>
  <c r="Y11" i="13" s="1"/>
  <c r="Y12" i="13" s="1"/>
  <c r="Y13" i="13" s="1"/>
  <c r="Y14" i="13" s="1"/>
  <c r="Y15" i="13" s="1"/>
  <c r="U5" i="13"/>
  <c r="U6" i="13" s="1"/>
  <c r="U7" i="13" s="1"/>
  <c r="U8" i="13" s="1"/>
  <c r="U9" i="13" s="1"/>
  <c r="U10" i="13" s="1"/>
  <c r="U11" i="13" s="1"/>
  <c r="U12" i="13" s="1"/>
  <c r="U13" i="13" s="1"/>
  <c r="U14" i="13" s="1"/>
  <c r="U15" i="13" s="1"/>
  <c r="Q6" i="13"/>
  <c r="Q7" i="13" s="1"/>
  <c r="Q8" i="13" s="1"/>
  <c r="Q9" i="13" s="1"/>
  <c r="Q10" i="13" s="1"/>
  <c r="Q11" i="13" s="1"/>
  <c r="Q12" i="13" s="1"/>
  <c r="Q13" i="13" s="1"/>
  <c r="Q14" i="13" s="1"/>
  <c r="Q15" i="13" s="1"/>
  <c r="Q5" i="13"/>
  <c r="M5" i="13"/>
  <c r="M6" i="13" s="1"/>
  <c r="M7" i="13" s="1"/>
  <c r="M8" i="13" s="1"/>
  <c r="M9" i="13" s="1"/>
  <c r="M10" i="13" s="1"/>
  <c r="M11" i="13" s="1"/>
  <c r="M12" i="13" s="1"/>
  <c r="M13" i="13" s="1"/>
  <c r="M14" i="13" s="1"/>
  <c r="M15" i="13" s="1"/>
  <c r="I5" i="13"/>
  <c r="E5" i="13"/>
  <c r="M22" i="16" l="1"/>
  <c r="L22" i="16"/>
  <c r="AW11" i="13"/>
  <c r="AW12" i="13" s="1"/>
  <c r="AW13" i="13" s="1"/>
  <c r="AW14" i="13" s="1"/>
  <c r="AW15" i="13" s="1"/>
  <c r="AW16" i="13" s="1"/>
  <c r="D22" i="16"/>
  <c r="E22" i="16"/>
  <c r="D47" i="1"/>
  <c r="D28" i="1"/>
  <c r="I6" i="13"/>
  <c r="I7" i="13" s="1"/>
  <c r="I8" i="13" s="1"/>
  <c r="I9" i="13" s="1"/>
  <c r="I10" i="13" s="1"/>
  <c r="I11" i="13" s="1"/>
  <c r="I12" i="13" s="1"/>
  <c r="I13" i="13" s="1"/>
  <c r="I14" i="13" s="1"/>
  <c r="I15" i="13" s="1"/>
  <c r="I16" i="13" s="1"/>
  <c r="D11" i="1" l="1"/>
  <c r="D12" i="1"/>
  <c r="D13" i="1"/>
  <c r="D14" i="1"/>
  <c r="D15" i="1"/>
  <c r="D16" i="1"/>
  <c r="D17" i="1"/>
  <c r="D18" i="1"/>
  <c r="E6" i="13"/>
  <c r="E7" i="13" s="1"/>
  <c r="E8" i="13" s="1"/>
  <c r="E9" i="13" s="1"/>
  <c r="E10" i="13" s="1"/>
  <c r="E11" i="13" s="1"/>
  <c r="E12" i="13" s="1"/>
  <c r="E13" i="13" s="1"/>
  <c r="E14" i="13" s="1"/>
  <c r="E15" i="13" s="1"/>
  <c r="B17" i="13" l="1"/>
  <c r="P21" i="2"/>
  <c r="P20" i="2"/>
  <c r="C18" i="1" s="1"/>
  <c r="B44" i="1" s="1"/>
  <c r="B3" i="11"/>
  <c r="Q21" i="2" l="1"/>
  <c r="C19" i="1"/>
  <c r="B45" i="1" s="1"/>
  <c r="Q20" i="2"/>
  <c r="Q19" i="2"/>
  <c r="C17" i="1"/>
  <c r="B43" i="1" s="1"/>
  <c r="F3" i="11"/>
  <c r="G3" i="11"/>
  <c r="E3" i="11" l="1"/>
  <c r="E47" i="1" l="1"/>
  <c r="I4" i="11" l="1"/>
  <c r="D4" i="11"/>
  <c r="E4" i="11"/>
  <c r="F4" i="11"/>
  <c r="G4" i="11"/>
  <c r="D4" i="1"/>
  <c r="D5" i="1"/>
  <c r="D6" i="1"/>
  <c r="D7" i="1"/>
  <c r="D8" i="1"/>
  <c r="D9" i="1"/>
  <c r="D10" i="1"/>
  <c r="D19" i="1"/>
  <c r="D20" i="1"/>
  <c r="H4" i="11"/>
  <c r="J4" i="11"/>
  <c r="K4" i="11"/>
  <c r="L4" i="11"/>
  <c r="N22" i="3"/>
  <c r="M4" i="11" s="1"/>
  <c r="G4" i="1"/>
  <c r="G5" i="1"/>
  <c r="G7" i="1"/>
  <c r="G8" i="1"/>
  <c r="G9" i="1"/>
  <c r="G11" i="1"/>
  <c r="G12" i="1"/>
  <c r="G13" i="1"/>
  <c r="G15" i="1"/>
  <c r="G16" i="1"/>
  <c r="G18" i="1"/>
  <c r="G19" i="1"/>
  <c r="G20" i="1"/>
  <c r="B5" i="11"/>
  <c r="B8" i="11" s="1"/>
  <c r="C5" i="11"/>
  <c r="C8" i="11" s="1"/>
  <c r="C17" i="11" s="1"/>
  <c r="D5" i="11"/>
  <c r="E5" i="11"/>
  <c r="F5" i="11"/>
  <c r="G5" i="11"/>
  <c r="H5" i="11"/>
  <c r="I5" i="11"/>
  <c r="J5" i="11"/>
  <c r="K5" i="11"/>
  <c r="L5" i="11"/>
  <c r="N21" i="12"/>
  <c r="M5" i="11" s="1"/>
  <c r="D17" i="13"/>
  <c r="F17" i="13"/>
  <c r="J17" i="13"/>
  <c r="L17" i="13"/>
  <c r="N17" i="13"/>
  <c r="P17" i="13"/>
  <c r="R17" i="13"/>
  <c r="T17" i="13"/>
  <c r="V17" i="13"/>
  <c r="X17" i="13"/>
  <c r="Z17" i="13"/>
  <c r="AB17" i="13"/>
  <c r="AD17" i="13"/>
  <c r="AH17" i="13"/>
  <c r="D3" i="11"/>
  <c r="H3" i="11"/>
  <c r="I3" i="11"/>
  <c r="P6" i="2"/>
  <c r="P7" i="2"/>
  <c r="C5" i="1" s="1"/>
  <c r="P8" i="2"/>
  <c r="P9" i="2"/>
  <c r="P10" i="2"/>
  <c r="P11" i="2"/>
  <c r="P12" i="2"/>
  <c r="P13" i="2"/>
  <c r="P14" i="2"/>
  <c r="C12" i="1" s="1"/>
  <c r="B38" i="1" s="1"/>
  <c r="P15" i="2"/>
  <c r="P16" i="2"/>
  <c r="P17" i="2"/>
  <c r="C15" i="1" s="1"/>
  <c r="B41" i="1" s="1"/>
  <c r="P18" i="2"/>
  <c r="C16" i="1" s="1"/>
  <c r="B42" i="1" s="1"/>
  <c r="P22" i="2"/>
  <c r="C14" i="1" l="1"/>
  <c r="B40" i="1" s="1"/>
  <c r="S16" i="2"/>
  <c r="C11" i="1"/>
  <c r="B37" i="1" s="1"/>
  <c r="P23" i="2"/>
  <c r="J8" i="11"/>
  <c r="G3" i="1"/>
  <c r="O21" i="12"/>
  <c r="D3" i="1"/>
  <c r="P22" i="3"/>
  <c r="R22" i="3" s="1"/>
  <c r="C20" i="1"/>
  <c r="B46" i="1" s="1"/>
  <c r="I8" i="11"/>
  <c r="I17" i="11" s="1"/>
  <c r="H8" i="11"/>
  <c r="G8" i="11"/>
  <c r="G17" i="11" s="1"/>
  <c r="F8" i="11"/>
  <c r="F17" i="11" s="1"/>
  <c r="B17" i="11"/>
  <c r="E8" i="11"/>
  <c r="E17" i="11" s="1"/>
  <c r="D8" i="11"/>
  <c r="D17" i="11" s="1"/>
  <c r="G17" i="1"/>
  <c r="H17" i="1" s="1"/>
  <c r="B31" i="1"/>
  <c r="H5" i="1"/>
  <c r="H18" i="1"/>
  <c r="Q10" i="2"/>
  <c r="C8" i="1"/>
  <c r="Q9" i="2"/>
  <c r="C7" i="1"/>
  <c r="H7" i="1" s="1"/>
  <c r="H16" i="1"/>
  <c r="H12" i="1"/>
  <c r="Q15" i="2"/>
  <c r="C13" i="1"/>
  <c r="B39" i="1" s="1"/>
  <c r="Q11" i="2"/>
  <c r="C9" i="1"/>
  <c r="Q6" i="2"/>
  <c r="C4" i="1"/>
  <c r="H4" i="1" s="1"/>
  <c r="Q5" i="2"/>
  <c r="C3" i="1"/>
  <c r="Q12" i="2"/>
  <c r="C10" i="1"/>
  <c r="Q8" i="2"/>
  <c r="C6" i="1"/>
  <c r="H19" i="1"/>
  <c r="H15" i="1"/>
  <c r="Q13" i="2"/>
  <c r="W17" i="13"/>
  <c r="AI17" i="13"/>
  <c r="G17" i="13"/>
  <c r="O17" i="13"/>
  <c r="Q14" i="2"/>
  <c r="Q7" i="2"/>
  <c r="AA17" i="13"/>
  <c r="Q18" i="2"/>
  <c r="Q22" i="2"/>
  <c r="Q16" i="2"/>
  <c r="Q17" i="2"/>
  <c r="K17" i="13"/>
  <c r="C17" i="13"/>
  <c r="S17" i="13"/>
  <c r="AE17" i="13"/>
  <c r="B21" i="1"/>
  <c r="H14" i="1" l="1"/>
  <c r="H11" i="1"/>
  <c r="D21" i="1"/>
  <c r="H3" i="1"/>
  <c r="H20" i="1"/>
  <c r="D20" i="11"/>
  <c r="D22" i="11" s="1"/>
  <c r="H17" i="11"/>
  <c r="E22" i="11" s="1"/>
  <c r="G21" i="1"/>
  <c r="E28" i="1" s="1"/>
  <c r="B32" i="1"/>
  <c r="H6" i="1"/>
  <c r="B35" i="1"/>
  <c r="H9" i="1"/>
  <c r="B34" i="1"/>
  <c r="H8" i="1"/>
  <c r="B30" i="1"/>
  <c r="H10" i="1"/>
  <c r="B36" i="1"/>
  <c r="H13" i="1"/>
  <c r="B33" i="1"/>
  <c r="B29" i="1"/>
  <c r="Q23" i="2"/>
  <c r="C21" i="1"/>
  <c r="H21" i="1" l="1"/>
  <c r="F22" i="11"/>
  <c r="B47" i="1"/>
  <c r="C32" i="1" s="1"/>
  <c r="C29" i="1" l="1"/>
  <c r="G29" i="1" s="1"/>
  <c r="C35" i="1"/>
  <c r="G35" i="1" s="1"/>
  <c r="C44" i="1"/>
  <c r="G44" i="1" s="1"/>
  <c r="C43" i="1"/>
  <c r="G43" i="1" s="1"/>
  <c r="C45" i="1"/>
  <c r="G45" i="1" s="1"/>
  <c r="C42" i="1"/>
  <c r="G42" i="1" s="1"/>
  <c r="C40" i="1"/>
  <c r="G40" i="1" s="1"/>
  <c r="C41" i="1"/>
  <c r="G41" i="1" s="1"/>
  <c r="C38" i="1"/>
  <c r="G38" i="1" s="1"/>
  <c r="C37" i="1"/>
  <c r="G37" i="1" s="1"/>
  <c r="C31" i="1"/>
  <c r="G31" i="1" s="1"/>
  <c r="C39" i="1"/>
  <c r="G39" i="1" s="1"/>
  <c r="C46" i="1"/>
  <c r="G46" i="1" s="1"/>
  <c r="C30" i="1"/>
  <c r="G30" i="1" s="1"/>
  <c r="C34" i="1"/>
  <c r="G34" i="1" s="1"/>
  <c r="C33" i="1"/>
  <c r="G33" i="1" s="1"/>
  <c r="C36" i="1"/>
  <c r="G36" i="1" s="1"/>
  <c r="G32" i="1"/>
  <c r="C47" i="1" l="1"/>
  <c r="G47" i="1"/>
</calcChain>
</file>

<file path=xl/sharedStrings.xml><?xml version="1.0" encoding="utf-8"?>
<sst xmlns="http://schemas.openxmlformats.org/spreadsheetml/2006/main" count="455" uniqueCount="140">
  <si>
    <t>S/N</t>
  </si>
  <si>
    <t>JINA</t>
  </si>
  <si>
    <t>KIINGILIO</t>
  </si>
  <si>
    <t>RIBA</t>
  </si>
  <si>
    <t>FAINI</t>
  </si>
  <si>
    <t>JUMLA</t>
  </si>
  <si>
    <t>MICHANGO MBALIMBALI</t>
  </si>
  <si>
    <t>JUMLA YA MAPATO YA KIKUNDI</t>
  </si>
  <si>
    <t>MKOPO</t>
  </si>
  <si>
    <t>TOTAL</t>
  </si>
  <si>
    <t>HISA</t>
  </si>
  <si>
    <t>KIASI BAKI</t>
  </si>
  <si>
    <t>JUMLA YA MAPATO</t>
  </si>
  <si>
    <t>JUMLA YA MATUMIZI</t>
  </si>
  <si>
    <t>ASILIMIA ZA MICHANGO MBALIMBALI</t>
  </si>
  <si>
    <t>HISA ZA WANACHAMA</t>
  </si>
  <si>
    <t>MATUMIZI</t>
  </si>
  <si>
    <t>MIKOPO KWENDA KWA WANACHAMA</t>
  </si>
  <si>
    <t>MATUMIZI YA KIJAMII</t>
  </si>
  <si>
    <t>GHARAMA ZA KIBENKI</t>
  </si>
  <si>
    <t>DATES</t>
  </si>
  <si>
    <t>REJESHO</t>
  </si>
  <si>
    <t>@</t>
  </si>
  <si>
    <t>IDADI YA HISA</t>
  </si>
  <si>
    <t>MATUMIZI YA WATIA SAINI</t>
  </si>
  <si>
    <t>MAPATO-MATUMIZI(KIASI BAKI)</t>
  </si>
  <si>
    <t>JUMLA YA FAINI</t>
  </si>
  <si>
    <t>JAMII</t>
  </si>
  <si>
    <t>JAMII @</t>
  </si>
  <si>
    <t xml:space="preserve"> UCHAKAVU @</t>
  </si>
  <si>
    <t>KIASI KWA KILA MWANACHAMA</t>
  </si>
  <si>
    <t>GHARAMA ZAKE</t>
  </si>
  <si>
    <t>MATUMIZI MBALIMBALI</t>
  </si>
  <si>
    <t>UCHAKAVU</t>
  </si>
  <si>
    <t>BEATRICE MESULI</t>
  </si>
  <si>
    <t>CHRISTINA TAIRO</t>
  </si>
  <si>
    <t>JANETH MKWIZU</t>
  </si>
  <si>
    <t>KEMILEMBE MUGELE</t>
  </si>
  <si>
    <t>MARY KAPOSWE</t>
  </si>
  <si>
    <t>RAMONA GILBERT</t>
  </si>
  <si>
    <t>ROSEMARY LAIZER</t>
  </si>
  <si>
    <t>SCHOLASTICA KIVUYO</t>
  </si>
  <si>
    <t>HILDA MESULI</t>
  </si>
  <si>
    <t>PATRICIA MGISHA</t>
  </si>
  <si>
    <t>HISA ZA WANAKIKUNDI WA DIVAS VICOBA</t>
  </si>
  <si>
    <t>MICHANGO MBALIMBALI WANAKIKUNDI WA DIVAS VICOBA</t>
  </si>
  <si>
    <t>JAMII NA UCHAKAVU</t>
  </si>
  <si>
    <t>KUCHELEWA KWA HISA NI TSH.1,000 KWA KILA SIKU INAYOZIDI</t>
  </si>
  <si>
    <t>KUCHELEWESHA REJESHO LA MKOPO WA MWEZI,ADHABU NI FAINI YA 10,000 KILA WEEK INAYOZIDI</t>
  </si>
  <si>
    <t>KUTOKUHUDHURIA MKUTANO 15,000</t>
  </si>
  <si>
    <t>CHRISTINA</t>
  </si>
  <si>
    <t>OPENING BALANCE JANUARY 2023 AS PER BANK STATEMENT</t>
  </si>
  <si>
    <t>EMILY EDWARD</t>
  </si>
  <si>
    <t>HISA ZA  MWANACHAMA KWA MWAKA</t>
  </si>
  <si>
    <t>GAWIO LA FAIDA YA RIBA (Hisa za mwanachama/jumla ya hisa zote*jumla ya riba iliyokusanywa</t>
  </si>
  <si>
    <t>GAWIO KUTOKANA NA FAINI</t>
  </si>
  <si>
    <t>GAWIO KUTOKANA NA UCHAKAVU BAADA YA MATUMIZI</t>
  </si>
  <si>
    <t>PUNGUZO LA MADENI YA MWANACHAMA</t>
  </si>
  <si>
    <t>KIASI KILICHOBAKI</t>
  </si>
  <si>
    <t>JUMLA KUU</t>
  </si>
  <si>
    <t>REGINA CHARLES</t>
  </si>
  <si>
    <t>MALIKA MANG'ERA</t>
  </si>
  <si>
    <t>ALMA MOLLEL</t>
  </si>
  <si>
    <t>CATHERINE EDWARD</t>
  </si>
  <si>
    <t>UPENDO MMARY</t>
  </si>
  <si>
    <t>ELIZABETH MOREHE</t>
  </si>
  <si>
    <t>RUQAIYA JAWADI</t>
  </si>
  <si>
    <t>ELIZABETH</t>
  </si>
  <si>
    <t>PATRICIA</t>
  </si>
  <si>
    <t>EMILY</t>
  </si>
  <si>
    <t>MAKATO BANK</t>
  </si>
  <si>
    <t>UCHAKAVU BALANCE</t>
  </si>
  <si>
    <t>OPEN/Balance</t>
  </si>
  <si>
    <t>ROSEMARY</t>
  </si>
  <si>
    <t>HILDA</t>
  </si>
  <si>
    <t>RAMONA</t>
  </si>
  <si>
    <t>RUQAIYA</t>
  </si>
  <si>
    <t>REGINA</t>
  </si>
  <si>
    <t>KEMILEMBE</t>
  </si>
  <si>
    <t>CATHERINE</t>
  </si>
  <si>
    <t>NO.</t>
  </si>
  <si>
    <t>MAJINA</t>
  </si>
  <si>
    <t>KIWANGO CHA MKOPO</t>
  </si>
  <si>
    <t>MARAJESHO</t>
  </si>
  <si>
    <t>TAREHE YA REJESHO</t>
  </si>
  <si>
    <t>SCHOLA KIVUYO</t>
  </si>
  <si>
    <t>JANETH SALEHE</t>
  </si>
  <si>
    <t>PATRICIA MUGISHA</t>
  </si>
  <si>
    <t>RUQAIYA JAWAD</t>
  </si>
  <si>
    <t>KEMMY MUGELE</t>
  </si>
  <si>
    <t>REGINA DANIEL</t>
  </si>
  <si>
    <t>TOTAL MONEY MOVES</t>
  </si>
  <si>
    <t>GAWIO HALISI LA MWANACHAMA KWA MWAKA 2024</t>
  </si>
  <si>
    <t>Upendo</t>
  </si>
  <si>
    <t>Alma</t>
  </si>
  <si>
    <t>BANK-OPENING BALANCE 2024</t>
  </si>
  <si>
    <t>Upendo Mmary</t>
  </si>
  <si>
    <t>Alma Mollel</t>
  </si>
  <si>
    <t>13th</t>
  </si>
  <si>
    <t>15th</t>
  </si>
  <si>
    <t>16th</t>
  </si>
  <si>
    <t>22th</t>
  </si>
  <si>
    <t>21th</t>
  </si>
  <si>
    <t>19th</t>
  </si>
  <si>
    <t>14th</t>
  </si>
  <si>
    <t>25th</t>
  </si>
  <si>
    <t>26th</t>
  </si>
  <si>
    <t>27th</t>
  </si>
  <si>
    <t>Beatrice 2</t>
  </si>
  <si>
    <t>opening balance</t>
  </si>
  <si>
    <t>Bank-NOW</t>
  </si>
  <si>
    <t>deadline</t>
  </si>
  <si>
    <t>Cath-200k topup</t>
  </si>
  <si>
    <t>Unseen</t>
  </si>
  <si>
    <t>ROUND ONE</t>
  </si>
  <si>
    <t>ROUND TWO</t>
  </si>
  <si>
    <t>Schola 2</t>
  </si>
  <si>
    <t>Mary 2</t>
  </si>
  <si>
    <t>24th</t>
  </si>
  <si>
    <t>Janeth 2</t>
  </si>
  <si>
    <t>unpaid fain-163,000</t>
  </si>
  <si>
    <t>ipo kwenye acc mm sina@@@@@</t>
  </si>
  <si>
    <t>RAMONA 2</t>
  </si>
  <si>
    <t>29TH</t>
  </si>
  <si>
    <t>17TH</t>
  </si>
  <si>
    <t>RUQAIYA 2</t>
  </si>
  <si>
    <t>year 2025</t>
  </si>
  <si>
    <t>year 2024</t>
  </si>
  <si>
    <t>6TH</t>
  </si>
  <si>
    <t>14TH</t>
  </si>
  <si>
    <t>JUMLA YA HISA</t>
  </si>
  <si>
    <t>EMILY2</t>
  </si>
  <si>
    <t>MALIKA2</t>
  </si>
  <si>
    <t>PAID</t>
  </si>
  <si>
    <t>18TH</t>
  </si>
  <si>
    <t>CHRISTINA 2</t>
  </si>
  <si>
    <t>HISA NYONGEZA</t>
  </si>
  <si>
    <t>ALMA 2</t>
  </si>
  <si>
    <t>april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</si>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</sst>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TSh&quot;* #,##0.00_);_(&quot;TSh&quot;* \(#,##0.00\);_(&quot;TSh&quot;* &quot;-&quot;??_);_(@_)"/>
    <numFmt numFmtId="43" formatCode="_(* #,##0.00_);_(* \(#,##0.00\);_(* &quot;-&quot;??_);_(@_)"/>
    <numFmt numFmtId="164" formatCode="[$-409]mmm\-yy;@"/>
    <numFmt numFmtId="165" formatCode="_-* #,##0_-;\-* #,##0_-;_-* &quot;-&quot;??_-;_-@_-"/>
    <numFmt numFmtId="166" formatCode="#,##0.00;[Red]#,##0.00"/>
    <numFmt numFmtId="167" formatCode="#,##0;[Red]#,##0"/>
    <numFmt numFmtId="168" formatCode="_(&quot;TSh&quot;* #,##0_);_(&quot;TSh&quot;* \(#,##0\);_(&quot;TSh&quot;* &quot;-&quot;??_);_(@_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1"/>
      <color theme="5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u/>
      <sz val="8"/>
      <color rgb="FF00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rgb="FFE2EFDA"/>
        <bgColor rgb="FF000000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1">
    <xf numFmtId="0" fontId="0" fillId="0" borderId="0" xfId="0"/>
    <xf numFmtId="0" fontId="1" fillId="0" borderId="0" xfId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right"/>
    </xf>
    <xf numFmtId="0" fontId="5" fillId="0" borderId="0" xfId="0" applyFont="1" applyAlignment="1">
      <alignment wrapText="1"/>
    </xf>
    <xf numFmtId="0" fontId="6" fillId="0" borderId="0" xfId="1" applyFont="1"/>
    <xf numFmtId="0" fontId="2" fillId="0" borderId="1" xfId="0" applyFont="1" applyBorder="1"/>
    <xf numFmtId="0" fontId="7" fillId="0" borderId="0" xfId="0" applyFont="1"/>
    <xf numFmtId="0" fontId="0" fillId="2" borderId="0" xfId="0" applyFill="1"/>
    <xf numFmtId="43" fontId="0" fillId="0" borderId="0" xfId="0" applyNumberFormat="1"/>
    <xf numFmtId="0" fontId="2" fillId="0" borderId="0" xfId="1" applyFont="1"/>
    <xf numFmtId="0" fontId="0" fillId="0" borderId="1" xfId="0" applyBorder="1"/>
    <xf numFmtId="0" fontId="0" fillId="3" borderId="0" xfId="0" applyFill="1"/>
    <xf numFmtId="0" fontId="1" fillId="3" borderId="0" xfId="1" applyFont="1" applyFill="1"/>
    <xf numFmtId="0" fontId="2" fillId="3" borderId="0" xfId="0" applyFont="1" applyFill="1"/>
    <xf numFmtId="0" fontId="2" fillId="0" borderId="1" xfId="1" applyFont="1" applyBorder="1"/>
    <xf numFmtId="17" fontId="2" fillId="0" borderId="0" xfId="0" applyNumberFormat="1" applyFont="1"/>
    <xf numFmtId="0" fontId="0" fillId="4" borderId="0" xfId="0" applyFill="1"/>
    <xf numFmtId="0" fontId="0" fillId="0" borderId="0" xfId="0" applyAlignment="1">
      <alignment horizontal="right"/>
    </xf>
    <xf numFmtId="17" fontId="8" fillId="0" borderId="0" xfId="0" applyNumberFormat="1" applyFont="1"/>
    <xf numFmtId="0" fontId="6" fillId="0" borderId="2" xfId="1" applyFont="1" applyBorder="1"/>
    <xf numFmtId="0" fontId="9" fillId="3" borderId="0" xfId="0" applyFont="1" applyFill="1"/>
    <xf numFmtId="0" fontId="0" fillId="3" borderId="0" xfId="0" applyFill="1" applyAlignment="1">
      <alignment horizontal="right"/>
    </xf>
    <xf numFmtId="0" fontId="0" fillId="3" borderId="1" xfId="0" applyFill="1" applyBorder="1"/>
    <xf numFmtId="17" fontId="2" fillId="3" borderId="1" xfId="0" applyNumberFormat="1" applyFont="1" applyFill="1" applyBorder="1" applyAlignment="1">
      <alignment horizontal="left" vertical="center"/>
    </xf>
    <xf numFmtId="0" fontId="10" fillId="3" borderId="0" xfId="0" applyFont="1" applyFill="1" applyAlignment="1">
      <alignment wrapText="1"/>
    </xf>
    <xf numFmtId="0" fontId="6" fillId="0" borderId="3" xfId="1" applyFont="1" applyBorder="1"/>
    <xf numFmtId="164" fontId="0" fillId="0" borderId="0" xfId="0" applyNumberFormat="1"/>
    <xf numFmtId="0" fontId="1" fillId="0" borderId="1" xfId="1" applyFont="1" applyBorder="1"/>
    <xf numFmtId="0" fontId="7" fillId="0" borderId="1" xfId="0" applyFont="1" applyBorder="1"/>
    <xf numFmtId="164" fontId="2" fillId="0" borderId="1" xfId="0" applyNumberFormat="1" applyFont="1" applyBorder="1"/>
    <xf numFmtId="0" fontId="6" fillId="3" borderId="0" xfId="1" applyFont="1" applyFill="1"/>
    <xf numFmtId="0" fontId="1" fillId="3" borderId="1" xfId="1" applyFont="1" applyFill="1" applyBorder="1"/>
    <xf numFmtId="165" fontId="1" fillId="3" borderId="0" xfId="1" applyNumberFormat="1" applyFont="1" applyFill="1"/>
    <xf numFmtId="165" fontId="2" fillId="3" borderId="0" xfId="1" applyNumberFormat="1" applyFont="1" applyFill="1" applyAlignment="1">
      <alignment wrapText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6" borderId="1" xfId="0" applyFill="1" applyBorder="1"/>
    <xf numFmtId="0" fontId="6" fillId="8" borderId="0" xfId="1" applyFont="1" applyFill="1"/>
    <xf numFmtId="0" fontId="6" fillId="8" borderId="5" xfId="1" applyFont="1" applyFill="1" applyBorder="1"/>
    <xf numFmtId="0" fontId="6" fillId="8" borderId="6" xfId="1" applyFont="1" applyFill="1" applyBorder="1"/>
    <xf numFmtId="0" fontId="6" fillId="9" borderId="0" xfId="1" applyFont="1" applyFill="1"/>
    <xf numFmtId="0" fontId="5" fillId="9" borderId="4" xfId="1" applyFont="1" applyFill="1" applyBorder="1" applyAlignment="1">
      <alignment horizontal="right"/>
    </xf>
    <xf numFmtId="0" fontId="6" fillId="10" borderId="0" xfId="1" applyFont="1" applyFill="1"/>
    <xf numFmtId="0" fontId="6" fillId="10" borderId="6" xfId="1" applyFont="1" applyFill="1" applyBorder="1"/>
    <xf numFmtId="0" fontId="11" fillId="0" borderId="0" xfId="0" applyFont="1"/>
    <xf numFmtId="0" fontId="6" fillId="9" borderId="7" xfId="1" applyFont="1" applyFill="1" applyBorder="1"/>
    <xf numFmtId="0" fontId="1" fillId="11" borderId="0" xfId="1" applyFont="1" applyFill="1"/>
    <xf numFmtId="0" fontId="1" fillId="8" borderId="0" xfId="1" applyFont="1" applyFill="1"/>
    <xf numFmtId="0" fontId="1" fillId="12" borderId="0" xfId="1" applyFont="1" applyFill="1"/>
    <xf numFmtId="0" fontId="1" fillId="9" borderId="0" xfId="1" applyFont="1" applyFill="1"/>
    <xf numFmtId="0" fontId="5" fillId="0" borderId="0" xfId="0" applyFont="1"/>
    <xf numFmtId="0" fontId="2" fillId="13" borderId="0" xfId="0" applyFont="1" applyFill="1"/>
    <xf numFmtId="0" fontId="13" fillId="0" borderId="0" xfId="0" applyFont="1" applyAlignment="1">
      <alignment horizontal="right"/>
    </xf>
    <xf numFmtId="0" fontId="2" fillId="6" borderId="4" xfId="0" applyFont="1" applyFill="1" applyBorder="1" applyAlignment="1">
      <alignment wrapText="1"/>
    </xf>
    <xf numFmtId="0" fontId="2" fillId="6" borderId="5" xfId="0" applyFont="1" applyFill="1" applyBorder="1" applyAlignment="1">
      <alignment wrapText="1"/>
    </xf>
    <xf numFmtId="0" fontId="2" fillId="8" borderId="5" xfId="0" applyFont="1" applyFill="1" applyBorder="1" applyAlignment="1">
      <alignment wrapText="1"/>
    </xf>
    <xf numFmtId="0" fontId="2" fillId="9" borderId="3" xfId="0" applyFont="1" applyFill="1" applyBorder="1" applyAlignment="1">
      <alignment wrapText="1"/>
    </xf>
    <xf numFmtId="0" fontId="7" fillId="11" borderId="0" xfId="0" applyFont="1" applyFill="1"/>
    <xf numFmtId="0" fontId="7" fillId="11" borderId="0" xfId="1" applyFont="1" applyFill="1"/>
    <xf numFmtId="0" fontId="7" fillId="11" borderId="8" xfId="0" applyFont="1" applyFill="1" applyBorder="1"/>
    <xf numFmtId="0" fontId="0" fillId="0" borderId="1" xfId="1" applyFont="1" applyBorder="1"/>
    <xf numFmtId="14" fontId="6" fillId="4" borderId="5" xfId="1" applyNumberFormat="1" applyFont="1" applyFill="1" applyBorder="1"/>
    <xf numFmtId="0" fontId="0" fillId="6" borderId="1" xfId="1" applyFont="1" applyFill="1" applyBorder="1"/>
    <xf numFmtId="0" fontId="0" fillId="0" borderId="0" xfId="1" applyFont="1"/>
    <xf numFmtId="0" fontId="2" fillId="6" borderId="6" xfId="0" applyFont="1" applyFill="1" applyBorder="1" applyAlignment="1">
      <alignment wrapText="1"/>
    </xf>
    <xf numFmtId="0" fontId="0" fillId="0" borderId="8" xfId="1" applyFont="1" applyBorder="1"/>
    <xf numFmtId="0" fontId="5" fillId="3" borderId="5" xfId="1" applyFont="1" applyFill="1" applyBorder="1"/>
    <xf numFmtId="16" fontId="2" fillId="0" borderId="0" xfId="0" applyNumberFormat="1" applyFont="1"/>
    <xf numFmtId="0" fontId="15" fillId="3" borderId="5" xfId="1" applyFont="1" applyFill="1" applyBorder="1"/>
    <xf numFmtId="0" fontId="1" fillId="0" borderId="0" xfId="1" applyFont="1" applyBorder="1"/>
    <xf numFmtId="0" fontId="0" fillId="14" borderId="0" xfId="0" applyFill="1"/>
    <xf numFmtId="0" fontId="0" fillId="14" borderId="0" xfId="1" applyFont="1" applyFill="1"/>
    <xf numFmtId="16" fontId="16" fillId="0" borderId="0" xfId="0" applyNumberFormat="1" applyFont="1"/>
    <xf numFmtId="0" fontId="19" fillId="0" borderId="0" xfId="0" applyFont="1"/>
    <xf numFmtId="0" fontId="20" fillId="0" borderId="0" xfId="0" applyFont="1"/>
    <xf numFmtId="16" fontId="21" fillId="0" borderId="0" xfId="0" applyNumberFormat="1" applyFont="1"/>
    <xf numFmtId="0" fontId="5" fillId="3" borderId="0" xfId="0" applyFont="1" applyFill="1" applyAlignment="1">
      <alignment wrapText="1"/>
    </xf>
    <xf numFmtId="0" fontId="2" fillId="3" borderId="0" xfId="1" applyFont="1" applyFill="1"/>
    <xf numFmtId="16" fontId="14" fillId="0" borderId="0" xfId="0" applyNumberFormat="1" applyFont="1"/>
    <xf numFmtId="43" fontId="17" fillId="14" borderId="0" xfId="0" applyNumberFormat="1" applyFont="1" applyFill="1"/>
    <xf numFmtId="164" fontId="2" fillId="3" borderId="1" xfId="0" applyNumberFormat="1" applyFont="1" applyFill="1" applyBorder="1"/>
    <xf numFmtId="0" fontId="0" fillId="3" borderId="1" xfId="1" applyFont="1" applyFill="1" applyBorder="1"/>
    <xf numFmtId="0" fontId="1" fillId="3" borderId="0" xfId="1" applyFont="1" applyFill="1" applyBorder="1"/>
    <xf numFmtId="0" fontId="0" fillId="5" borderId="1" xfId="1" applyFont="1" applyFill="1" applyBorder="1"/>
    <xf numFmtId="4" fontId="22" fillId="0" borderId="0" xfId="0" applyNumberFormat="1" applyFont="1"/>
    <xf numFmtId="17" fontId="7" fillId="0" borderId="0" xfId="0" applyNumberFormat="1" applyFont="1"/>
    <xf numFmtId="14" fontId="14" fillId="0" borderId="0" xfId="0" applyNumberFormat="1" applyFont="1"/>
    <xf numFmtId="0" fontId="0" fillId="0" borderId="0" xfId="1" applyFont="1" applyProtection="1"/>
    <xf numFmtId="3" fontId="0" fillId="0" borderId="0" xfId="1" applyNumberFormat="1" applyFont="1" applyProtection="1"/>
    <xf numFmtId="3" fontId="18" fillId="12" borderId="1" xfId="1" applyNumberFormat="1" applyFont="1" applyFill="1" applyBorder="1" applyProtection="1"/>
    <xf numFmtId="3" fontId="3" fillId="0" borderId="0" xfId="1" applyNumberFormat="1" applyFont="1" applyProtection="1"/>
    <xf numFmtId="166" fontId="0" fillId="0" borderId="0" xfId="1" applyNumberFormat="1" applyFont="1"/>
    <xf numFmtId="166" fontId="18" fillId="12" borderId="1" xfId="1" applyNumberFormat="1" applyFont="1" applyFill="1" applyBorder="1"/>
    <xf numFmtId="166" fontId="3" fillId="0" borderId="0" xfId="1" applyNumberFormat="1" applyFont="1"/>
    <xf numFmtId="4" fontId="6" fillId="9" borderId="1" xfId="1" applyNumberFormat="1" applyFont="1" applyFill="1" applyBorder="1"/>
    <xf numFmtId="4" fontId="6" fillId="10" borderId="1" xfId="1" applyNumberFormat="1" applyFont="1" applyFill="1" applyBorder="1"/>
    <xf numFmtId="4" fontId="6" fillId="8" borderId="1" xfId="1" applyNumberFormat="1" applyFont="1" applyFill="1" applyBorder="1"/>
    <xf numFmtId="4" fontId="6" fillId="0" borderId="1" xfId="1" applyNumberFormat="1" applyFont="1" applyBorder="1"/>
    <xf numFmtId="4" fontId="6" fillId="3" borderId="1" xfId="1" applyNumberFormat="1" applyFont="1" applyFill="1" applyBorder="1"/>
    <xf numFmtId="4" fontId="23" fillId="8" borderId="1" xfId="1" applyNumberFormat="1" applyFont="1" applyFill="1" applyBorder="1"/>
    <xf numFmtId="4" fontId="6" fillId="9" borderId="9" xfId="1" applyNumberFormat="1" applyFont="1" applyFill="1" applyBorder="1"/>
    <xf numFmtId="4" fontId="6" fillId="10" borderId="9" xfId="1" applyNumberFormat="1" applyFont="1" applyFill="1" applyBorder="1"/>
    <xf numFmtId="4" fontId="6" fillId="8" borderId="9" xfId="1" applyNumberFormat="1" applyFont="1" applyFill="1" applyBorder="1"/>
    <xf numFmtId="4" fontId="6" fillId="0" borderId="9" xfId="1" applyNumberFormat="1" applyFont="1" applyBorder="1"/>
    <xf numFmtId="4" fontId="6" fillId="3" borderId="9" xfId="1" applyNumberFormat="1" applyFont="1" applyFill="1" applyBorder="1"/>
    <xf numFmtId="4" fontId="12" fillId="9" borderId="0" xfId="1" applyNumberFormat="1" applyFont="1" applyFill="1"/>
    <xf numFmtId="4" fontId="12" fillId="10" borderId="0" xfId="1" applyNumberFormat="1" applyFont="1" applyFill="1"/>
    <xf numFmtId="4" fontId="12" fillId="8" borderId="0" xfId="1" applyNumberFormat="1" applyFont="1" applyFill="1"/>
    <xf numFmtId="4" fontId="12" fillId="0" borderId="0" xfId="1" applyNumberFormat="1" applyFont="1"/>
    <xf numFmtId="166" fontId="6" fillId="9" borderId="1" xfId="1" applyNumberFormat="1" applyFont="1" applyFill="1" applyBorder="1"/>
    <xf numFmtId="166" fontId="6" fillId="10" borderId="1" xfId="1" applyNumberFormat="1" applyFont="1" applyFill="1" applyBorder="1"/>
    <xf numFmtId="166" fontId="6" fillId="8" borderId="1" xfId="1" applyNumberFormat="1" applyFont="1" applyFill="1" applyBorder="1"/>
    <xf numFmtId="166" fontId="6" fillId="0" borderId="1" xfId="1" applyNumberFormat="1" applyFont="1" applyBorder="1"/>
    <xf numFmtId="166" fontId="23" fillId="8" borderId="1" xfId="1" applyNumberFormat="1" applyFont="1" applyFill="1" applyBorder="1"/>
    <xf numFmtId="166" fontId="6" fillId="9" borderId="9" xfId="1" applyNumberFormat="1" applyFont="1" applyFill="1" applyBorder="1"/>
    <xf numFmtId="166" fontId="6" fillId="10" borderId="9" xfId="1" applyNumberFormat="1" applyFont="1" applyFill="1" applyBorder="1"/>
    <xf numFmtId="166" fontId="6" fillId="8" borderId="9" xfId="1" applyNumberFormat="1" applyFont="1" applyFill="1" applyBorder="1"/>
    <xf numFmtId="166" fontId="6" fillId="0" borderId="9" xfId="1" applyNumberFormat="1" applyFont="1" applyBorder="1"/>
    <xf numFmtId="166" fontId="12" fillId="9" borderId="0" xfId="1" applyNumberFormat="1" applyFont="1" applyFill="1"/>
    <xf numFmtId="166" fontId="12" fillId="10" borderId="0" xfId="1" applyNumberFormat="1" applyFont="1" applyFill="1"/>
    <xf numFmtId="166" fontId="12" fillId="8" borderId="0" xfId="1" applyNumberFormat="1" applyFont="1" applyFill="1"/>
    <xf numFmtId="166" fontId="12" fillId="0" borderId="0" xfId="1" applyNumberFormat="1" applyFont="1"/>
    <xf numFmtId="166" fontId="1" fillId="3" borderId="1" xfId="1" applyNumberFormat="1" applyFont="1" applyFill="1" applyBorder="1"/>
    <xf numFmtId="166" fontId="1" fillId="0" borderId="1" xfId="1" applyNumberFormat="1" applyFont="1" applyBorder="1"/>
    <xf numFmtId="166" fontId="0" fillId="0" borderId="0" xfId="0" applyNumberFormat="1"/>
    <xf numFmtId="166" fontId="1" fillId="14" borderId="1" xfId="1" applyNumberFormat="1" applyFont="1" applyFill="1" applyBorder="1"/>
    <xf numFmtId="166" fontId="2" fillId="0" borderId="0" xfId="0" applyNumberFormat="1" applyFont="1"/>
    <xf numFmtId="166" fontId="2" fillId="0" borderId="0" xfId="1" applyNumberFormat="1" applyFont="1"/>
    <xf numFmtId="166" fontId="2" fillId="3" borderId="0" xfId="1" applyNumberFormat="1" applyFont="1" applyFill="1"/>
    <xf numFmtId="166" fontId="1" fillId="0" borderId="0" xfId="1" applyNumberFormat="1" applyFont="1"/>
    <xf numFmtId="166" fontId="0" fillId="3" borderId="1" xfId="1" applyNumberFormat="1" applyFont="1" applyFill="1" applyBorder="1"/>
    <xf numFmtId="166" fontId="2" fillId="3" borderId="1" xfId="1" applyNumberFormat="1" applyFont="1" applyFill="1" applyBorder="1"/>
    <xf numFmtId="166" fontId="0" fillId="3" borderId="9" xfId="1" applyNumberFormat="1" applyFont="1" applyFill="1" applyBorder="1"/>
    <xf numFmtId="166" fontId="2" fillId="3" borderId="9" xfId="1" applyNumberFormat="1" applyFont="1" applyFill="1" applyBorder="1"/>
    <xf numFmtId="166" fontId="2" fillId="3" borderId="4" xfId="1" applyNumberFormat="1" applyFont="1" applyFill="1" applyBorder="1"/>
    <xf numFmtId="166" fontId="2" fillId="3" borderId="5" xfId="1" applyNumberFormat="1" applyFont="1" applyFill="1" applyBorder="1"/>
    <xf numFmtId="166" fontId="0" fillId="3" borderId="5" xfId="1" applyNumberFormat="1" applyFont="1" applyFill="1" applyBorder="1"/>
    <xf numFmtId="167" fontId="1" fillId="3" borderId="1" xfId="1" applyNumberFormat="1" applyFont="1" applyFill="1" applyBorder="1"/>
    <xf numFmtId="167" fontId="1" fillId="3" borderId="9" xfId="1" applyNumberFormat="1" applyFont="1" applyFill="1" applyBorder="1"/>
    <xf numFmtId="167" fontId="1" fillId="3" borderId="3" xfId="1" applyNumberFormat="1" applyFont="1" applyFill="1" applyBorder="1"/>
    <xf numFmtId="166" fontId="1" fillId="11" borderId="1" xfId="1" applyNumberFormat="1" applyFont="1" applyFill="1" applyBorder="1"/>
    <xf numFmtId="166" fontId="1" fillId="8" borderId="1" xfId="1" applyNumberFormat="1" applyFont="1" applyFill="1" applyBorder="1"/>
    <xf numFmtId="166" fontId="1" fillId="12" borderId="1" xfId="1" applyNumberFormat="1" applyFont="1" applyFill="1" applyBorder="1"/>
    <xf numFmtId="166" fontId="1" fillId="9" borderId="1" xfId="1" applyNumberFormat="1" applyFont="1" applyFill="1" applyBorder="1"/>
    <xf numFmtId="166" fontId="14" fillId="3" borderId="1" xfId="1" applyNumberFormat="1" applyFont="1" applyFill="1" applyBorder="1"/>
    <xf numFmtId="166" fontId="2" fillId="0" borderId="14" xfId="1" applyNumberFormat="1" applyFont="1" applyBorder="1"/>
    <xf numFmtId="166" fontId="2" fillId="0" borderId="15" xfId="1" applyNumberFormat="1" applyFont="1" applyBorder="1"/>
    <xf numFmtId="166" fontId="2" fillId="0" borderId="3" xfId="1" applyNumberFormat="1" applyFont="1" applyBorder="1"/>
    <xf numFmtId="166" fontId="0" fillId="6" borderId="10" xfId="0" applyNumberFormat="1" applyFill="1" applyBorder="1"/>
    <xf numFmtId="166" fontId="0" fillId="6" borderId="1" xfId="0" applyNumberFormat="1" applyFill="1" applyBorder="1"/>
    <xf numFmtId="166" fontId="0" fillId="8" borderId="10" xfId="0" applyNumberFormat="1" applyFill="1" applyBorder="1"/>
    <xf numFmtId="166" fontId="0" fillId="6" borderId="1" xfId="1" applyNumberFormat="1" applyFont="1" applyFill="1" applyBorder="1"/>
    <xf numFmtId="166" fontId="0" fillId="8" borderId="1" xfId="0" applyNumberFormat="1" applyFill="1" applyBorder="1"/>
    <xf numFmtId="166" fontId="2" fillId="0" borderId="1" xfId="0" applyNumberFormat="1" applyFont="1" applyBorder="1"/>
    <xf numFmtId="166" fontId="2" fillId="0" borderId="11" xfId="0" applyNumberFormat="1" applyFont="1" applyBorder="1"/>
    <xf numFmtId="166" fontId="2" fillId="0" borderId="8" xfId="0" applyNumberFormat="1" applyFont="1" applyBorder="1"/>
    <xf numFmtId="166" fontId="2" fillId="0" borderId="13" xfId="0" applyNumberFormat="1" applyFont="1" applyBorder="1"/>
    <xf numFmtId="166" fontId="0" fillId="0" borderId="8" xfId="0" applyNumberFormat="1" applyBorder="1"/>
    <xf numFmtId="166" fontId="0" fillId="0" borderId="1" xfId="0" applyNumberFormat="1" applyBorder="1"/>
    <xf numFmtId="166" fontId="0" fillId="3" borderId="1" xfId="0" applyNumberFormat="1" applyFill="1" applyBorder="1"/>
    <xf numFmtId="168" fontId="2" fillId="0" borderId="0" xfId="2" applyNumberFormat="1" applyFont="1"/>
    <xf numFmtId="44" fontId="0" fillId="9" borderId="10" xfId="2" applyFont="1" applyFill="1" applyBorder="1"/>
    <xf numFmtId="44" fontId="0" fillId="9" borderId="1" xfId="2" applyFont="1" applyFill="1" applyBorder="1"/>
    <xf numFmtId="44" fontId="2" fillId="0" borderId="12" xfId="2" applyFont="1" applyBorder="1"/>
    <xf numFmtId="0" fontId="5" fillId="3" borderId="4" xfId="1" applyFont="1" applyFill="1" applyBorder="1" applyAlignment="1">
      <alignment horizontal="right"/>
    </xf>
    <xf numFmtId="14" fontId="5" fillId="3" borderId="5" xfId="1" applyNumberFormat="1" applyFont="1" applyFill="1" applyBorder="1"/>
    <xf numFmtId="0" fontId="5" fillId="3" borderId="3" xfId="1" applyFont="1" applyFill="1" applyBorder="1"/>
    <xf numFmtId="44" fontId="0" fillId="0" borderId="0" xfId="2" applyFont="1"/>
    <xf numFmtId="44" fontId="14" fillId="0" borderId="0" xfId="2" applyFont="1"/>
    <xf numFmtId="44" fontId="0" fillId="0" borderId="0" xfId="0" applyNumberFormat="1"/>
    <xf numFmtId="166" fontId="1" fillId="3" borderId="16" xfId="1" applyNumberFormat="1" applyFont="1" applyFill="1" applyBorder="1"/>
    <xf numFmtId="166" fontId="1" fillId="3" borderId="0" xfId="1" applyNumberFormat="1" applyFont="1" applyFill="1" applyBorder="1"/>
    <xf numFmtId="0" fontId="24" fillId="15" borderId="4" xfId="0" applyFont="1" applyFill="1" applyBorder="1" applyAlignment="1">
      <alignment horizontal="right"/>
    </xf>
    <xf numFmtId="0" fontId="15" fillId="15" borderId="5" xfId="0" applyFont="1" applyFill="1" applyBorder="1"/>
    <xf numFmtId="0" fontId="24" fillId="15" borderId="5" xfId="0" applyFont="1" applyFill="1" applyBorder="1"/>
    <xf numFmtId="0" fontId="24" fillId="15" borderId="3" xfId="0" applyFont="1" applyFill="1" applyBorder="1"/>
    <xf numFmtId="0" fontId="25" fillId="16" borderId="17" xfId="0" applyFont="1" applyFill="1" applyBorder="1"/>
    <xf numFmtId="0" fontId="25" fillId="17" borderId="0" xfId="0" applyFont="1" applyFill="1"/>
    <xf numFmtId="0" fontId="25" fillId="18" borderId="0" xfId="0" applyFont="1" applyFill="1"/>
    <xf numFmtId="0" fontId="25" fillId="0" borderId="18" xfId="0" applyFont="1" applyBorder="1"/>
    <xf numFmtId="166" fontId="25" fillId="16" borderId="1" xfId="0" applyNumberFormat="1" applyFont="1" applyFill="1" applyBorder="1"/>
    <xf numFmtId="166" fontId="25" fillId="17" borderId="12" xfId="0" applyNumberFormat="1" applyFont="1" applyFill="1" applyBorder="1"/>
    <xf numFmtId="166" fontId="25" fillId="18" borderId="12" xfId="0" applyNumberFormat="1" applyFont="1" applyFill="1" applyBorder="1"/>
    <xf numFmtId="166" fontId="25" fillId="0" borderId="12" xfId="0" applyNumberFormat="1" applyFont="1" applyBorder="1"/>
    <xf numFmtId="166" fontId="25" fillId="16" borderId="10" xfId="0" applyNumberFormat="1" applyFont="1" applyFill="1" applyBorder="1"/>
    <xf numFmtId="166" fontId="25" fillId="17" borderId="19" xfId="0" applyNumberFormat="1" applyFont="1" applyFill="1" applyBorder="1"/>
    <xf numFmtId="166" fontId="25" fillId="18" borderId="19" xfId="0" applyNumberFormat="1" applyFont="1" applyFill="1" applyBorder="1"/>
    <xf numFmtId="166" fontId="25" fillId="0" borderId="19" xfId="0" applyNumberFormat="1" applyFont="1" applyBorder="1"/>
    <xf numFmtId="166" fontId="25" fillId="16" borderId="20" xfId="0" applyNumberFormat="1" applyFont="1" applyFill="1" applyBorder="1"/>
    <xf numFmtId="166" fontId="25" fillId="17" borderId="21" xfId="0" applyNumberFormat="1" applyFont="1" applyFill="1" applyBorder="1"/>
    <xf numFmtId="166" fontId="25" fillId="18" borderId="21" xfId="0" applyNumberFormat="1" applyFont="1" applyFill="1" applyBorder="1"/>
    <xf numFmtId="166" fontId="25" fillId="0" borderId="21" xfId="0" applyNumberFormat="1" applyFont="1" applyBorder="1"/>
    <xf numFmtId="166" fontId="25" fillId="0" borderId="22" xfId="0" applyNumberFormat="1" applyFont="1" applyBorder="1"/>
    <xf numFmtId="166" fontId="26" fillId="16" borderId="0" xfId="0" applyNumberFormat="1" applyFont="1" applyFill="1"/>
    <xf numFmtId="166" fontId="26" fillId="17" borderId="0" xfId="0" applyNumberFormat="1" applyFont="1" applyFill="1"/>
    <xf numFmtId="166" fontId="26" fillId="18" borderId="0" xfId="0" applyNumberFormat="1" applyFont="1" applyFill="1"/>
    <xf numFmtId="166" fontId="26" fillId="0" borderId="0" xfId="0" applyNumberFormat="1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262955</xdr:colOff>
      <xdr:row>25</xdr:row>
      <xdr:rowOff>174123</xdr:rowOff>
    </xdr:from>
    <xdr:ext cx="1588640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7991072-F926-4EA0-B4A9-D1E2789DD6EE}"/>
            </a:ext>
          </a:extLst>
        </xdr:cNvPr>
        <xdr:cNvSpPr/>
      </xdr:nvSpPr>
      <xdr:spPr>
        <a:xfrm>
          <a:off x="262955" y="5038223"/>
          <a:ext cx="1588640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2025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5" tint="0.39997558519241921"/>
  </sheetPr>
  <dimension ref="A2:K293"/>
  <sheetViews>
    <sheetView tabSelected="1" topLeftCell="A27" workbookViewId="0">
      <pane xSplit="1" topLeftCell="B1" activePane="topRight" state="frozen"/>
      <selection pane="topRight" activeCell="B33" sqref="B33"/>
    </sheetView>
  </sheetViews>
  <sheetFormatPr baseColWidth="10" defaultColWidth="8.83203125" defaultRowHeight="15" x14ac:dyDescent="0.2"/>
  <cols>
    <col min="1" max="1" width="33.1640625" customWidth="1"/>
    <col min="2" max="2" width="19.5" customWidth="1"/>
    <col min="3" max="3" width="20.83203125" customWidth="1"/>
    <col min="4" max="4" width="18" customWidth="1"/>
    <col min="5" max="5" width="14.1640625" customWidth="1"/>
    <col min="6" max="6" width="15.5" style="14" customWidth="1"/>
    <col min="7" max="7" width="16.83203125" customWidth="1"/>
    <col min="8" max="8" width="14.33203125" customWidth="1"/>
    <col min="9" max="9" width="15.1640625" customWidth="1"/>
    <col min="10" max="10" width="15.83203125" customWidth="1"/>
    <col min="11" max="11" width="14" customWidth="1"/>
  </cols>
  <sheetData>
    <row r="2" spans="1:9" x14ac:dyDescent="0.2">
      <c r="A2" s="2" t="s">
        <v>1</v>
      </c>
      <c r="B2" s="2" t="s">
        <v>2</v>
      </c>
      <c r="C2" s="2" t="s">
        <v>10</v>
      </c>
      <c r="D2" s="54" t="s">
        <v>6</v>
      </c>
      <c r="E2" s="2" t="s">
        <v>3</v>
      </c>
      <c r="F2" s="16"/>
      <c r="G2" s="2" t="s">
        <v>4</v>
      </c>
      <c r="H2" s="2" t="s">
        <v>59</v>
      </c>
    </row>
    <row r="3" spans="1:9" x14ac:dyDescent="0.2">
      <c r="A3" t="s">
        <v>62</v>
      </c>
      <c r="B3" s="127">
        <v>0</v>
      </c>
      <c r="C3" s="144">
        <f>HISA!P5</f>
        <v>900000</v>
      </c>
      <c r="D3" s="145">
        <f>JAMII!P4</f>
        <v>90000</v>
      </c>
      <c r="E3" s="146">
        <v>1650000</v>
      </c>
      <c r="F3" s="126"/>
      <c r="G3" s="147">
        <f>FAINI!O3</f>
        <v>2000</v>
      </c>
      <c r="H3" s="131">
        <f>SUM(C3:G3)</f>
        <v>2642000</v>
      </c>
      <c r="I3" s="2"/>
    </row>
    <row r="4" spans="1:9" x14ac:dyDescent="0.2">
      <c r="A4" t="s">
        <v>34</v>
      </c>
      <c r="B4" s="127">
        <v>0</v>
      </c>
      <c r="C4" s="144">
        <f>HISA!P6</f>
        <v>500000</v>
      </c>
      <c r="D4" s="145">
        <f>JAMII!P5</f>
        <v>75000</v>
      </c>
      <c r="E4" s="146"/>
      <c r="F4" s="126"/>
      <c r="G4" s="147">
        <f>FAINI!O4</f>
        <v>105000</v>
      </c>
      <c r="H4" s="131">
        <f t="shared" ref="H4:H9" si="0">SUM(C4:G4)</f>
        <v>680000</v>
      </c>
      <c r="I4" s="2"/>
    </row>
    <row r="5" spans="1:9" x14ac:dyDescent="0.2">
      <c r="A5" t="s">
        <v>63</v>
      </c>
      <c r="B5" s="127">
        <v>0</v>
      </c>
      <c r="C5" s="144">
        <f>HISA!P7</f>
        <v>1400000</v>
      </c>
      <c r="D5" s="145">
        <f>JAMII!P6</f>
        <v>90000</v>
      </c>
      <c r="E5" s="146"/>
      <c r="F5" s="148"/>
      <c r="G5" s="147">
        <f>FAINI!O5</f>
        <v>19000</v>
      </c>
      <c r="H5" s="131">
        <f t="shared" si="0"/>
        <v>1509000</v>
      </c>
      <c r="I5" s="2"/>
    </row>
    <row r="6" spans="1:9" x14ac:dyDescent="0.2">
      <c r="A6" t="s">
        <v>35</v>
      </c>
      <c r="B6" s="127">
        <v>0</v>
      </c>
      <c r="C6" s="144">
        <f>HISA!P8</f>
        <v>2800000</v>
      </c>
      <c r="D6" s="145">
        <f>JAMII!P7</f>
        <v>90000</v>
      </c>
      <c r="E6" s="146">
        <v>2000000</v>
      </c>
      <c r="F6" s="148"/>
      <c r="G6" s="147">
        <f>FAINI!O6</f>
        <v>14000</v>
      </c>
      <c r="H6" s="131">
        <f t="shared" si="0"/>
        <v>4904000</v>
      </c>
      <c r="I6" s="2"/>
    </row>
    <row r="7" spans="1:9" x14ac:dyDescent="0.2">
      <c r="A7" t="s">
        <v>65</v>
      </c>
      <c r="B7" s="127">
        <v>0</v>
      </c>
      <c r="C7" s="144">
        <f>HISA!P9</f>
        <v>3800000</v>
      </c>
      <c r="D7" s="145">
        <f>JAMII!P8</f>
        <v>90000</v>
      </c>
      <c r="E7" s="146"/>
      <c r="F7" s="148"/>
      <c r="G7" s="147">
        <f>FAINI!O7</f>
        <v>4000</v>
      </c>
      <c r="H7" s="131">
        <f t="shared" si="0"/>
        <v>3894000</v>
      </c>
      <c r="I7" s="2"/>
    </row>
    <row r="8" spans="1:9" x14ac:dyDescent="0.2">
      <c r="A8" t="s">
        <v>36</v>
      </c>
      <c r="B8" s="127">
        <v>0</v>
      </c>
      <c r="C8" s="144">
        <f>HISA!P10</f>
        <v>2000000</v>
      </c>
      <c r="D8" s="145">
        <f>JAMII!P9</f>
        <v>30000</v>
      </c>
      <c r="E8" s="146"/>
      <c r="F8" s="148"/>
      <c r="G8" s="147">
        <f>FAINI!O8</f>
        <v>302000</v>
      </c>
      <c r="H8" s="131">
        <f t="shared" si="0"/>
        <v>2332000</v>
      </c>
      <c r="I8" s="2"/>
    </row>
    <row r="9" spans="1:9" x14ac:dyDescent="0.2">
      <c r="A9" t="s">
        <v>37</v>
      </c>
      <c r="B9" s="127">
        <v>0</v>
      </c>
      <c r="C9" s="144">
        <f>HISA!P11</f>
        <v>1100000</v>
      </c>
      <c r="D9" s="145">
        <f>JAMII!P10</f>
        <v>90000</v>
      </c>
      <c r="E9" s="146"/>
      <c r="F9" s="126"/>
      <c r="G9" s="147">
        <f>FAINI!O9</f>
        <v>14000</v>
      </c>
      <c r="H9" s="131">
        <f t="shared" si="0"/>
        <v>1204000</v>
      </c>
      <c r="I9" s="2"/>
    </row>
    <row r="10" spans="1:9" x14ac:dyDescent="0.2">
      <c r="A10" t="s">
        <v>61</v>
      </c>
      <c r="B10" s="127">
        <v>0</v>
      </c>
      <c r="C10" s="144">
        <f>HISA!P12</f>
        <v>2500000</v>
      </c>
      <c r="D10" s="145">
        <f>JAMII!P11</f>
        <v>75000</v>
      </c>
      <c r="E10" s="146">
        <v>2200000</v>
      </c>
      <c r="F10" s="126"/>
      <c r="G10" s="147">
        <f>FAINI!O10</f>
        <v>137000</v>
      </c>
      <c r="H10" s="131">
        <f t="shared" ref="H10:H20" si="1">SUM(C10:G10)</f>
        <v>4912000</v>
      </c>
      <c r="I10" s="2"/>
    </row>
    <row r="11" spans="1:9" x14ac:dyDescent="0.2">
      <c r="A11" t="s">
        <v>38</v>
      </c>
      <c r="B11" s="127">
        <v>0</v>
      </c>
      <c r="C11" s="144">
        <f>HISA!P13</f>
        <v>500000</v>
      </c>
      <c r="D11" s="145">
        <f>JAMII!P12</f>
        <v>60000</v>
      </c>
      <c r="E11" s="146"/>
      <c r="F11" s="126"/>
      <c r="G11" s="147">
        <f>FAINI!O11</f>
        <v>159000</v>
      </c>
      <c r="H11" s="131">
        <f t="shared" si="1"/>
        <v>719000</v>
      </c>
      <c r="I11" s="2"/>
    </row>
    <row r="12" spans="1:9" x14ac:dyDescent="0.2">
      <c r="A12" t="s">
        <v>52</v>
      </c>
      <c r="B12" s="127">
        <v>0</v>
      </c>
      <c r="C12" s="144">
        <f>HISA!P14</f>
        <v>500000</v>
      </c>
      <c r="D12" s="145">
        <f>JAMII!P13</f>
        <v>75000</v>
      </c>
      <c r="E12" s="146">
        <v>1300000</v>
      </c>
      <c r="F12" s="126"/>
      <c r="G12" s="147">
        <f>FAINI!O12</f>
        <v>174000</v>
      </c>
      <c r="H12" s="131">
        <f t="shared" si="1"/>
        <v>2049000</v>
      </c>
      <c r="I12" s="2"/>
    </row>
    <row r="13" spans="1:9" x14ac:dyDescent="0.2">
      <c r="A13" t="s">
        <v>39</v>
      </c>
      <c r="B13" s="127">
        <v>0</v>
      </c>
      <c r="C13" s="144">
        <f>HISA!P15</f>
        <v>600000</v>
      </c>
      <c r="D13" s="145">
        <f>JAMII!P14</f>
        <v>75000</v>
      </c>
      <c r="E13" s="146"/>
      <c r="F13" s="126"/>
      <c r="G13" s="147">
        <f>FAINI!O13</f>
        <v>0</v>
      </c>
      <c r="H13" s="131">
        <f t="shared" si="1"/>
        <v>675000</v>
      </c>
      <c r="I13" s="2"/>
    </row>
    <row r="14" spans="1:9" x14ac:dyDescent="0.2">
      <c r="A14" t="s">
        <v>60</v>
      </c>
      <c r="B14" s="127">
        <v>0</v>
      </c>
      <c r="C14" s="144">
        <f>HISA!P16</f>
        <v>11000000</v>
      </c>
      <c r="D14" s="145">
        <f>JAMII!P15</f>
        <v>75000</v>
      </c>
      <c r="E14" s="146"/>
      <c r="F14" s="126"/>
      <c r="G14" s="147">
        <f>FAINI!O14</f>
        <v>4000</v>
      </c>
      <c r="H14" s="131">
        <f t="shared" si="1"/>
        <v>11079000</v>
      </c>
      <c r="I14" s="2"/>
    </row>
    <row r="15" spans="1:9" x14ac:dyDescent="0.2">
      <c r="A15" t="s">
        <v>40</v>
      </c>
      <c r="B15" s="127">
        <v>0</v>
      </c>
      <c r="C15" s="144">
        <f>HISA!P17</f>
        <v>800000</v>
      </c>
      <c r="D15" s="145">
        <f>JAMII!P16</f>
        <v>60000</v>
      </c>
      <c r="E15" s="146"/>
      <c r="F15" s="126"/>
      <c r="G15" s="147">
        <f>FAINI!O15</f>
        <v>153000</v>
      </c>
      <c r="H15" s="131">
        <f t="shared" si="1"/>
        <v>1013000</v>
      </c>
      <c r="I15" s="2"/>
    </row>
    <row r="16" spans="1:9" x14ac:dyDescent="0.2">
      <c r="A16" t="s">
        <v>66</v>
      </c>
      <c r="B16" s="127">
        <v>0</v>
      </c>
      <c r="C16" s="144">
        <f>HISA!P18</f>
        <v>6000000</v>
      </c>
      <c r="D16" s="145">
        <f>JAMII!P17</f>
        <v>90000</v>
      </c>
      <c r="E16" s="146"/>
      <c r="F16" s="126"/>
      <c r="G16" s="147">
        <f>FAINI!O16</f>
        <v>174000</v>
      </c>
      <c r="H16" s="131">
        <f t="shared" si="1"/>
        <v>6264000</v>
      </c>
      <c r="I16" s="2"/>
    </row>
    <row r="17" spans="1:11" x14ac:dyDescent="0.2">
      <c r="A17" t="s">
        <v>41</v>
      </c>
      <c r="B17" s="127">
        <v>0</v>
      </c>
      <c r="C17" s="144">
        <f>HISA!P19</f>
        <v>800000</v>
      </c>
      <c r="D17" s="145">
        <f>JAMII!P18</f>
        <v>75000</v>
      </c>
      <c r="E17" s="146"/>
      <c r="F17" s="126"/>
      <c r="G17" s="147">
        <f>FAINI!O17</f>
        <v>158000</v>
      </c>
      <c r="H17" s="131">
        <f t="shared" si="1"/>
        <v>1033000</v>
      </c>
      <c r="I17" s="2"/>
    </row>
    <row r="18" spans="1:11" x14ac:dyDescent="0.2">
      <c r="A18" t="s">
        <v>42</v>
      </c>
      <c r="B18" s="127">
        <v>0</v>
      </c>
      <c r="C18" s="144">
        <f>HISA!P20</f>
        <v>600000</v>
      </c>
      <c r="D18" s="145">
        <f>JAMII!P19</f>
        <v>90000</v>
      </c>
      <c r="E18" s="146"/>
      <c r="F18" s="126"/>
      <c r="G18" s="147">
        <f>FAINI!O18</f>
        <v>205000</v>
      </c>
      <c r="H18" s="131">
        <f t="shared" si="1"/>
        <v>895000</v>
      </c>
      <c r="I18" s="2"/>
    </row>
    <row r="19" spans="1:11" x14ac:dyDescent="0.2">
      <c r="A19" t="s">
        <v>43</v>
      </c>
      <c r="B19" s="127">
        <v>0</v>
      </c>
      <c r="C19" s="144">
        <f>HISA!P21</f>
        <v>700000</v>
      </c>
      <c r="D19" s="145">
        <f>JAMII!P20</f>
        <v>90000</v>
      </c>
      <c r="E19" s="146">
        <v>300000</v>
      </c>
      <c r="F19" s="126"/>
      <c r="G19" s="147">
        <f>FAINI!O19</f>
        <v>143000</v>
      </c>
      <c r="H19" s="131">
        <f t="shared" si="1"/>
        <v>1233000</v>
      </c>
    </row>
    <row r="20" spans="1:11" ht="16" thickBot="1" x14ac:dyDescent="0.25">
      <c r="A20" t="s">
        <v>64</v>
      </c>
      <c r="B20" s="127">
        <v>0</v>
      </c>
      <c r="C20" s="144">
        <f>HISA!P22</f>
        <v>2100000</v>
      </c>
      <c r="D20" s="145">
        <f>JAMII!P21</f>
        <v>90000</v>
      </c>
      <c r="E20" s="146"/>
      <c r="F20" s="126"/>
      <c r="G20" s="147">
        <f>FAINI!O20</f>
        <v>139000</v>
      </c>
      <c r="H20" s="131">
        <f t="shared" si="1"/>
        <v>2329000</v>
      </c>
    </row>
    <row r="21" spans="1:11" s="2" customFormat="1" ht="16" thickBot="1" x14ac:dyDescent="0.25">
      <c r="B21" s="149">
        <f t="shared" ref="B21:D21" si="2">SUM(B3:B20)</f>
        <v>0</v>
      </c>
      <c r="C21" s="150">
        <f t="shared" si="2"/>
        <v>38600000</v>
      </c>
      <c r="D21" s="150">
        <f t="shared" si="2"/>
        <v>1410000</v>
      </c>
      <c r="E21" s="150">
        <f>SUM(E3:E20)</f>
        <v>7450000</v>
      </c>
      <c r="F21" s="150">
        <f>SUM(F3:F20)</f>
        <v>0</v>
      </c>
      <c r="G21" s="150">
        <f>SUM(G3:G20)</f>
        <v>1906000</v>
      </c>
      <c r="H21" s="151">
        <f>SUM(H3:H20)</f>
        <v>49366000</v>
      </c>
    </row>
    <row r="22" spans="1:11" x14ac:dyDescent="0.2">
      <c r="B22" s="1"/>
      <c r="C22" s="50"/>
      <c r="D22" s="51"/>
      <c r="E22" s="52"/>
      <c r="F22" s="15"/>
      <c r="G22" s="53"/>
      <c r="H22" s="67"/>
    </row>
    <row r="23" spans="1:11" ht="16" x14ac:dyDescent="0.2">
      <c r="A23" s="3" t="s">
        <v>7</v>
      </c>
      <c r="C23" s="67"/>
      <c r="D23" s="67"/>
      <c r="E23" s="164">
        <f>SUM(E3:E20)</f>
        <v>7450000</v>
      </c>
      <c r="F23" s="81"/>
      <c r="G23" s="67"/>
      <c r="H23" s="12"/>
      <c r="I23" s="2"/>
      <c r="J23" s="9"/>
      <c r="K23" s="9"/>
    </row>
    <row r="24" spans="1:11" ht="16" thickBot="1" x14ac:dyDescent="0.25">
      <c r="C24" t="s">
        <v>70</v>
      </c>
      <c r="D24" s="67"/>
      <c r="F24"/>
    </row>
    <row r="25" spans="1:11" ht="19.5" customHeight="1" thickBot="1" x14ac:dyDescent="0.25">
      <c r="C25" t="s">
        <v>71</v>
      </c>
      <c r="D25" s="69"/>
      <c r="F25"/>
    </row>
    <row r="26" spans="1:11" ht="16.5" customHeight="1" thickBot="1" x14ac:dyDescent="0.25">
      <c r="F26"/>
    </row>
    <row r="27" spans="1:11" ht="75" customHeight="1" thickBot="1" x14ac:dyDescent="0.25">
      <c r="B27" s="57" t="s">
        <v>53</v>
      </c>
      <c r="C27" s="58" t="s">
        <v>54</v>
      </c>
      <c r="D27" s="68" t="s">
        <v>56</v>
      </c>
      <c r="E27" s="68" t="s">
        <v>55</v>
      </c>
      <c r="F27" s="59" t="s">
        <v>57</v>
      </c>
      <c r="G27" s="60" t="s">
        <v>92</v>
      </c>
    </row>
    <row r="28" spans="1:11" x14ac:dyDescent="0.2">
      <c r="A28" s="2" t="s">
        <v>1</v>
      </c>
      <c r="B28" s="152"/>
      <c r="C28" s="152"/>
      <c r="D28" s="153">
        <f>D25/18</f>
        <v>0</v>
      </c>
      <c r="E28" s="153">
        <f>G21/18</f>
        <v>105888.88888888889</v>
      </c>
      <c r="F28" s="154"/>
      <c r="G28" s="165"/>
    </row>
    <row r="29" spans="1:11" x14ac:dyDescent="0.2">
      <c r="A29" t="s">
        <v>62</v>
      </c>
      <c r="B29" s="153">
        <f>C3</f>
        <v>900000</v>
      </c>
      <c r="C29" s="153">
        <f>B29/B47*E23</f>
        <v>173704.66321243523</v>
      </c>
      <c r="D29" s="155"/>
      <c r="E29" s="153">
        <v>105888.89</v>
      </c>
      <c r="F29" s="156"/>
      <c r="G29" s="166">
        <f>B29+C29+D29+E29-F29</f>
        <v>1179593.5532124352</v>
      </c>
    </row>
    <row r="30" spans="1:11" x14ac:dyDescent="0.2">
      <c r="A30" t="s">
        <v>34</v>
      </c>
      <c r="B30" s="153">
        <f t="shared" ref="B30:B46" si="3">C4</f>
        <v>500000</v>
      </c>
      <c r="C30" s="153">
        <f>B30/B47*E23</f>
        <v>96502.59067357512</v>
      </c>
      <c r="D30" s="155"/>
      <c r="E30" s="153">
        <v>105888.89</v>
      </c>
      <c r="F30" s="156"/>
      <c r="G30" s="166">
        <f>B30+C30+D30+E30-F30</f>
        <v>702391.48067357519</v>
      </c>
    </row>
    <row r="31" spans="1:11" x14ac:dyDescent="0.2">
      <c r="A31" t="s">
        <v>63</v>
      </c>
      <c r="B31" s="153">
        <f t="shared" si="3"/>
        <v>1400000</v>
      </c>
      <c r="C31" s="153">
        <f>B31/B47*E23</f>
        <v>270207.25388601032</v>
      </c>
      <c r="D31" s="155"/>
      <c r="E31" s="153">
        <v>105888.89</v>
      </c>
      <c r="F31" s="156"/>
      <c r="G31" s="166">
        <f t="shared" ref="G31:G46" si="4">B31+C31+D31+E31-F31</f>
        <v>1776096.1438860102</v>
      </c>
    </row>
    <row r="32" spans="1:11" x14ac:dyDescent="0.2">
      <c r="A32" t="s">
        <v>35</v>
      </c>
      <c r="B32" s="153">
        <f t="shared" si="3"/>
        <v>2800000</v>
      </c>
      <c r="C32" s="153">
        <f>B32/B47*E23</f>
        <v>540414.50777202065</v>
      </c>
      <c r="D32" s="155"/>
      <c r="E32" s="153">
        <v>105888.89</v>
      </c>
      <c r="F32" s="156"/>
      <c r="G32" s="166">
        <f t="shared" si="4"/>
        <v>3446303.3977720207</v>
      </c>
    </row>
    <row r="33" spans="1:7" x14ac:dyDescent="0.2">
      <c r="A33" t="s">
        <v>65</v>
      </c>
      <c r="B33" s="153">
        <f t="shared" si="3"/>
        <v>3800000</v>
      </c>
      <c r="C33" s="153">
        <f>B33/B47*E23</f>
        <v>733419.689119171</v>
      </c>
      <c r="D33" s="155"/>
      <c r="E33" s="153">
        <v>105888.89</v>
      </c>
      <c r="F33" s="156"/>
      <c r="G33" s="166">
        <f t="shared" si="4"/>
        <v>4639308.579119171</v>
      </c>
    </row>
    <row r="34" spans="1:7" x14ac:dyDescent="0.2">
      <c r="A34" t="s">
        <v>36</v>
      </c>
      <c r="B34" s="153">
        <f t="shared" si="3"/>
        <v>2000000</v>
      </c>
      <c r="C34" s="153">
        <f>B34/B47*E23</f>
        <v>386010.36269430048</v>
      </c>
      <c r="D34" s="155"/>
      <c r="E34" s="153">
        <v>105888.89</v>
      </c>
      <c r="F34" s="156"/>
      <c r="G34" s="166">
        <f t="shared" si="4"/>
        <v>2491899.2526943008</v>
      </c>
    </row>
    <row r="35" spans="1:7" x14ac:dyDescent="0.2">
      <c r="A35" t="s">
        <v>37</v>
      </c>
      <c r="B35" s="153">
        <f t="shared" si="3"/>
        <v>1100000</v>
      </c>
      <c r="C35" s="153">
        <f>B35/B47*E23</f>
        <v>212305.6994818653</v>
      </c>
      <c r="D35" s="155"/>
      <c r="E35" s="153">
        <v>105888.89</v>
      </c>
      <c r="F35" s="156"/>
      <c r="G35" s="166">
        <f t="shared" si="4"/>
        <v>1418194.5894818653</v>
      </c>
    </row>
    <row r="36" spans="1:7" x14ac:dyDescent="0.2">
      <c r="A36" t="s">
        <v>61</v>
      </c>
      <c r="B36" s="153">
        <f t="shared" si="3"/>
        <v>2500000</v>
      </c>
      <c r="C36" s="153">
        <f>B36/B47*E23</f>
        <v>482512.9533678756</v>
      </c>
      <c r="D36" s="155"/>
      <c r="E36" s="153">
        <v>105888.89</v>
      </c>
      <c r="F36" s="156"/>
      <c r="G36" s="166">
        <f t="shared" si="4"/>
        <v>3088401.8433678756</v>
      </c>
    </row>
    <row r="37" spans="1:7" x14ac:dyDescent="0.2">
      <c r="A37" t="s">
        <v>38</v>
      </c>
      <c r="B37" s="153">
        <f t="shared" si="3"/>
        <v>500000</v>
      </c>
      <c r="C37" s="153">
        <f>B37/B47*E23</f>
        <v>96502.59067357512</v>
      </c>
      <c r="D37" s="155"/>
      <c r="E37" s="153">
        <v>105888.89</v>
      </c>
      <c r="F37" s="156"/>
      <c r="G37" s="166">
        <f t="shared" si="4"/>
        <v>702391.48067357519</v>
      </c>
    </row>
    <row r="38" spans="1:7" x14ac:dyDescent="0.2">
      <c r="A38" t="s">
        <v>52</v>
      </c>
      <c r="B38" s="153">
        <f t="shared" si="3"/>
        <v>500000</v>
      </c>
      <c r="C38" s="153">
        <f>B38/B47*E23</f>
        <v>96502.59067357512</v>
      </c>
      <c r="D38" s="155"/>
      <c r="E38" s="153">
        <v>105888.89</v>
      </c>
      <c r="F38" s="156"/>
      <c r="G38" s="166">
        <f t="shared" si="4"/>
        <v>702391.48067357519</v>
      </c>
    </row>
    <row r="39" spans="1:7" ht="13.5" customHeight="1" x14ac:dyDescent="0.2">
      <c r="A39" t="s">
        <v>39</v>
      </c>
      <c r="B39" s="153">
        <f t="shared" si="3"/>
        <v>600000</v>
      </c>
      <c r="C39" s="153">
        <f>B39/B47*E23</f>
        <v>115803.10880829016</v>
      </c>
      <c r="D39" s="155"/>
      <c r="E39" s="153">
        <v>105888.89</v>
      </c>
      <c r="F39" s="156"/>
      <c r="G39" s="166">
        <f t="shared" si="4"/>
        <v>821691.99880829023</v>
      </c>
    </row>
    <row r="40" spans="1:7" ht="13.5" customHeight="1" x14ac:dyDescent="0.2">
      <c r="A40" t="s">
        <v>60</v>
      </c>
      <c r="B40" s="153">
        <f t="shared" si="3"/>
        <v>11000000</v>
      </c>
      <c r="C40" s="153">
        <f>B40/B47*E23</f>
        <v>2123056.994818653</v>
      </c>
      <c r="D40" s="155"/>
      <c r="E40" s="153">
        <v>105888.89</v>
      </c>
      <c r="F40" s="156"/>
      <c r="G40" s="166">
        <f t="shared" si="4"/>
        <v>13228945.884818655</v>
      </c>
    </row>
    <row r="41" spans="1:7" x14ac:dyDescent="0.2">
      <c r="A41" t="s">
        <v>40</v>
      </c>
      <c r="B41" s="153">
        <f t="shared" si="3"/>
        <v>800000</v>
      </c>
      <c r="C41" s="153">
        <f>B41/B47*E23</f>
        <v>154404.14507772023</v>
      </c>
      <c r="D41" s="155"/>
      <c r="E41" s="153">
        <v>105888.89</v>
      </c>
      <c r="F41" s="156"/>
      <c r="G41" s="166">
        <f t="shared" si="4"/>
        <v>1060293.0350777202</v>
      </c>
    </row>
    <row r="42" spans="1:7" ht="16.5" customHeight="1" x14ac:dyDescent="0.2">
      <c r="A42" t="s">
        <v>66</v>
      </c>
      <c r="B42" s="153">
        <f t="shared" si="3"/>
        <v>6000000</v>
      </c>
      <c r="C42" s="153">
        <f>B42/B47*E23</f>
        <v>1158031.0880829014</v>
      </c>
      <c r="D42" s="155"/>
      <c r="E42" s="153">
        <v>105888.89</v>
      </c>
      <c r="F42" s="156"/>
      <c r="G42" s="166">
        <f t="shared" si="4"/>
        <v>7263919.9780829009</v>
      </c>
    </row>
    <row r="43" spans="1:7" x14ac:dyDescent="0.2">
      <c r="A43" t="s">
        <v>41</v>
      </c>
      <c r="B43" s="153">
        <f t="shared" si="3"/>
        <v>800000</v>
      </c>
      <c r="C43" s="153">
        <f>B43/B47*E23</f>
        <v>154404.14507772023</v>
      </c>
      <c r="D43" s="155"/>
      <c r="E43" s="153">
        <v>105888.89</v>
      </c>
      <c r="F43" s="156"/>
      <c r="G43" s="166">
        <f t="shared" si="4"/>
        <v>1060293.0350777202</v>
      </c>
    </row>
    <row r="44" spans="1:7" ht="17.25" customHeight="1" x14ac:dyDescent="0.2">
      <c r="A44" t="s">
        <v>42</v>
      </c>
      <c r="B44" s="153">
        <f t="shared" si="3"/>
        <v>600000</v>
      </c>
      <c r="C44" s="153">
        <f>B44/B47*E23</f>
        <v>115803.10880829016</v>
      </c>
      <c r="D44" s="155"/>
      <c r="E44" s="153">
        <v>105888.89</v>
      </c>
      <c r="F44" s="156"/>
      <c r="G44" s="166">
        <f t="shared" si="4"/>
        <v>821691.99880829023</v>
      </c>
    </row>
    <row r="45" spans="1:7" x14ac:dyDescent="0.2">
      <c r="A45" t="s">
        <v>43</v>
      </c>
      <c r="B45" s="153">
        <f t="shared" si="3"/>
        <v>700000</v>
      </c>
      <c r="C45" s="153">
        <f>B45/B47*E23</f>
        <v>135103.62694300516</v>
      </c>
      <c r="D45" s="155"/>
      <c r="E45" s="153">
        <v>105888.89</v>
      </c>
      <c r="F45" s="156"/>
      <c r="G45" s="166">
        <f t="shared" si="4"/>
        <v>940992.51694300515</v>
      </c>
    </row>
    <row r="46" spans="1:7" ht="16" thickBot="1" x14ac:dyDescent="0.25">
      <c r="A46" t="s">
        <v>64</v>
      </c>
      <c r="B46" s="153">
        <f t="shared" si="3"/>
        <v>2100000</v>
      </c>
      <c r="C46" s="153">
        <f>B46/B47*E23</f>
        <v>405310.88082901551</v>
      </c>
      <c r="D46" s="155"/>
      <c r="E46" s="153">
        <v>105888.89</v>
      </c>
      <c r="F46" s="156"/>
      <c r="G46" s="166">
        <f t="shared" si="4"/>
        <v>2611199.7708290159</v>
      </c>
    </row>
    <row r="47" spans="1:7" ht="16" thickBot="1" x14ac:dyDescent="0.25">
      <c r="B47" s="157">
        <f>SUM(B29:B46)</f>
        <v>38600000</v>
      </c>
      <c r="C47" s="158">
        <f>SUM(C29:C46)</f>
        <v>7450000.0000000009</v>
      </c>
      <c r="D47" s="159">
        <f>SUM(D29:D46)</f>
        <v>0</v>
      </c>
      <c r="E47" s="160">
        <f>SUM(E29:E46)</f>
        <v>1906000.0199999991</v>
      </c>
      <c r="F47" s="161"/>
      <c r="G47" s="167">
        <f>SUM(G29:G46)</f>
        <v>47956000.020000003</v>
      </c>
    </row>
    <row r="48" spans="1:7" x14ac:dyDescent="0.2">
      <c r="F48"/>
    </row>
    <row r="49" spans="6:6" x14ac:dyDescent="0.2">
      <c r="F49"/>
    </row>
    <row r="50" spans="6:6" x14ac:dyDescent="0.2">
      <c r="F50"/>
    </row>
    <row r="51" spans="6:6" x14ac:dyDescent="0.2">
      <c r="F51"/>
    </row>
    <row r="52" spans="6:6" x14ac:dyDescent="0.2">
      <c r="F52"/>
    </row>
    <row r="53" spans="6:6" x14ac:dyDescent="0.2">
      <c r="F53"/>
    </row>
    <row r="54" spans="6:6" x14ac:dyDescent="0.2">
      <c r="F54"/>
    </row>
    <row r="55" spans="6:6" x14ac:dyDescent="0.2">
      <c r="F55"/>
    </row>
    <row r="56" spans="6:6" x14ac:dyDescent="0.2">
      <c r="F56"/>
    </row>
    <row r="57" spans="6:6" x14ac:dyDescent="0.2">
      <c r="F57"/>
    </row>
    <row r="58" spans="6:6" x14ac:dyDescent="0.2">
      <c r="F58"/>
    </row>
    <row r="59" spans="6:6" x14ac:dyDescent="0.2">
      <c r="F59"/>
    </row>
    <row r="60" spans="6:6" x14ac:dyDescent="0.2">
      <c r="F60"/>
    </row>
    <row r="61" spans="6:6" x14ac:dyDescent="0.2">
      <c r="F61"/>
    </row>
    <row r="62" spans="6:6" x14ac:dyDescent="0.2">
      <c r="F62"/>
    </row>
    <row r="63" spans="6:6" x14ac:dyDescent="0.2">
      <c r="F63"/>
    </row>
    <row r="64" spans="6:6" x14ac:dyDescent="0.2">
      <c r="F64"/>
    </row>
    <row r="65" spans="1:6" x14ac:dyDescent="0.2">
      <c r="B65" s="11"/>
      <c r="F65"/>
    </row>
    <row r="66" spans="1:6" x14ac:dyDescent="0.2">
      <c r="B66" s="11"/>
      <c r="F66"/>
    </row>
    <row r="67" spans="1:6" x14ac:dyDescent="0.2">
      <c r="A67" s="11"/>
      <c r="F67"/>
    </row>
    <row r="68" spans="1:6" x14ac:dyDescent="0.2">
      <c r="F68"/>
    </row>
    <row r="69" spans="1:6" x14ac:dyDescent="0.2">
      <c r="F69"/>
    </row>
    <row r="70" spans="1:6" x14ac:dyDescent="0.2">
      <c r="F70"/>
    </row>
    <row r="71" spans="1:6" x14ac:dyDescent="0.2">
      <c r="F71"/>
    </row>
    <row r="72" spans="1:6" ht="15.75" customHeight="1" x14ac:dyDescent="0.2">
      <c r="F72"/>
    </row>
    <row r="73" spans="1:6" x14ac:dyDescent="0.2">
      <c r="F73"/>
    </row>
    <row r="74" spans="1:6" x14ac:dyDescent="0.2">
      <c r="F74"/>
    </row>
    <row r="75" spans="1:6" x14ac:dyDescent="0.2">
      <c r="F75"/>
    </row>
    <row r="76" spans="1:6" x14ac:dyDescent="0.2">
      <c r="F76"/>
    </row>
    <row r="77" spans="1:6" x14ac:dyDescent="0.2">
      <c r="F77"/>
    </row>
    <row r="78" spans="1:6" x14ac:dyDescent="0.2">
      <c r="F78"/>
    </row>
    <row r="79" spans="1:6" x14ac:dyDescent="0.2">
      <c r="F79"/>
    </row>
    <row r="80" spans="1:6" x14ac:dyDescent="0.2">
      <c r="F80"/>
    </row>
    <row r="81" spans="6:6" x14ac:dyDescent="0.2">
      <c r="F81"/>
    </row>
    <row r="82" spans="6:6" x14ac:dyDescent="0.2">
      <c r="F82"/>
    </row>
    <row r="83" spans="6:6" ht="15.75" customHeight="1" x14ac:dyDescent="0.2">
      <c r="F83"/>
    </row>
    <row r="84" spans="6:6" ht="15" customHeight="1" x14ac:dyDescent="0.2">
      <c r="F84"/>
    </row>
    <row r="85" spans="6:6" x14ac:dyDescent="0.2">
      <c r="F85"/>
    </row>
    <row r="86" spans="6:6" x14ac:dyDescent="0.2">
      <c r="F86"/>
    </row>
    <row r="87" spans="6:6" x14ac:dyDescent="0.2">
      <c r="F87"/>
    </row>
    <row r="88" spans="6:6" x14ac:dyDescent="0.2">
      <c r="F88"/>
    </row>
    <row r="89" spans="6:6" x14ac:dyDescent="0.2">
      <c r="F89"/>
    </row>
    <row r="90" spans="6:6" x14ac:dyDescent="0.2">
      <c r="F90"/>
    </row>
    <row r="91" spans="6:6" x14ac:dyDescent="0.2">
      <c r="F91"/>
    </row>
    <row r="92" spans="6:6" x14ac:dyDescent="0.2">
      <c r="F92"/>
    </row>
    <row r="93" spans="6:6" x14ac:dyDescent="0.2">
      <c r="F93"/>
    </row>
    <row r="94" spans="6:6" x14ac:dyDescent="0.2">
      <c r="F94"/>
    </row>
    <row r="95" spans="6:6" x14ac:dyDescent="0.2">
      <c r="F95"/>
    </row>
    <row r="96" spans="6:6" x14ac:dyDescent="0.2">
      <c r="F96"/>
    </row>
    <row r="97" spans="6:6" x14ac:dyDescent="0.2">
      <c r="F97"/>
    </row>
    <row r="98" spans="6:6" x14ac:dyDescent="0.2">
      <c r="F98"/>
    </row>
    <row r="99" spans="6:6" x14ac:dyDescent="0.2">
      <c r="F99"/>
    </row>
    <row r="100" spans="6:6" x14ac:dyDescent="0.2">
      <c r="F100"/>
    </row>
    <row r="101" spans="6:6" x14ac:dyDescent="0.2">
      <c r="F101"/>
    </row>
    <row r="102" spans="6:6" x14ac:dyDescent="0.2">
      <c r="F102"/>
    </row>
    <row r="103" spans="6:6" x14ac:dyDescent="0.2">
      <c r="F103"/>
    </row>
    <row r="104" spans="6:6" x14ac:dyDescent="0.2">
      <c r="F104"/>
    </row>
    <row r="105" spans="6:6" x14ac:dyDescent="0.2">
      <c r="F105"/>
    </row>
    <row r="106" spans="6:6" x14ac:dyDescent="0.2">
      <c r="F106"/>
    </row>
    <row r="107" spans="6:6" x14ac:dyDescent="0.2">
      <c r="F107"/>
    </row>
    <row r="108" spans="6:6" x14ac:dyDescent="0.2">
      <c r="F108"/>
    </row>
    <row r="109" spans="6:6" x14ac:dyDescent="0.2">
      <c r="F109"/>
    </row>
    <row r="110" spans="6:6" x14ac:dyDescent="0.2">
      <c r="F110"/>
    </row>
    <row r="111" spans="6:6" x14ac:dyDescent="0.2">
      <c r="F111"/>
    </row>
    <row r="112" spans="6:6" x14ac:dyDescent="0.2">
      <c r="F112"/>
    </row>
    <row r="113" spans="6:6" x14ac:dyDescent="0.2">
      <c r="F113"/>
    </row>
    <row r="114" spans="6:6" x14ac:dyDescent="0.2">
      <c r="F114"/>
    </row>
    <row r="115" spans="6:6" x14ac:dyDescent="0.2">
      <c r="F115"/>
    </row>
    <row r="116" spans="6:6" x14ac:dyDescent="0.2">
      <c r="F116"/>
    </row>
    <row r="117" spans="6:6" x14ac:dyDescent="0.2">
      <c r="F117"/>
    </row>
    <row r="118" spans="6:6" x14ac:dyDescent="0.2">
      <c r="F118"/>
    </row>
    <row r="119" spans="6:6" x14ac:dyDescent="0.2">
      <c r="F119"/>
    </row>
    <row r="120" spans="6:6" x14ac:dyDescent="0.2">
      <c r="F120"/>
    </row>
    <row r="121" spans="6:6" x14ac:dyDescent="0.2">
      <c r="F121"/>
    </row>
    <row r="122" spans="6:6" x14ac:dyDescent="0.2">
      <c r="F122"/>
    </row>
    <row r="123" spans="6:6" x14ac:dyDescent="0.2">
      <c r="F123"/>
    </row>
    <row r="124" spans="6:6" x14ac:dyDescent="0.2">
      <c r="F124"/>
    </row>
    <row r="125" spans="6:6" x14ac:dyDescent="0.2">
      <c r="F125"/>
    </row>
    <row r="126" spans="6:6" x14ac:dyDescent="0.2">
      <c r="F126"/>
    </row>
    <row r="127" spans="6:6" x14ac:dyDescent="0.2">
      <c r="F127"/>
    </row>
    <row r="128" spans="6:6" x14ac:dyDescent="0.2">
      <c r="F128"/>
    </row>
    <row r="129" spans="6:6" x14ac:dyDescent="0.2">
      <c r="F129"/>
    </row>
    <row r="130" spans="6:6" x14ac:dyDescent="0.2">
      <c r="F130"/>
    </row>
    <row r="131" spans="6:6" x14ac:dyDescent="0.2">
      <c r="F131"/>
    </row>
    <row r="132" spans="6:6" x14ac:dyDescent="0.2">
      <c r="F132"/>
    </row>
    <row r="133" spans="6:6" x14ac:dyDescent="0.2">
      <c r="F133"/>
    </row>
    <row r="134" spans="6:6" x14ac:dyDescent="0.2">
      <c r="F134"/>
    </row>
    <row r="135" spans="6:6" x14ac:dyDescent="0.2">
      <c r="F135"/>
    </row>
    <row r="136" spans="6:6" x14ac:dyDescent="0.2">
      <c r="F136"/>
    </row>
    <row r="137" spans="6:6" x14ac:dyDescent="0.2">
      <c r="F137"/>
    </row>
    <row r="138" spans="6:6" x14ac:dyDescent="0.2">
      <c r="F138"/>
    </row>
    <row r="139" spans="6:6" x14ac:dyDescent="0.2">
      <c r="F139"/>
    </row>
    <row r="140" spans="6:6" x14ac:dyDescent="0.2">
      <c r="F140"/>
    </row>
    <row r="141" spans="6:6" x14ac:dyDescent="0.2">
      <c r="F141"/>
    </row>
    <row r="142" spans="6:6" x14ac:dyDescent="0.2">
      <c r="F142"/>
    </row>
    <row r="143" spans="6:6" x14ac:dyDescent="0.2">
      <c r="F143"/>
    </row>
    <row r="144" spans="6:6" x14ac:dyDescent="0.2">
      <c r="F144"/>
    </row>
    <row r="145" spans="6:6" x14ac:dyDescent="0.2">
      <c r="F145"/>
    </row>
    <row r="146" spans="6:6" x14ac:dyDescent="0.2">
      <c r="F146"/>
    </row>
    <row r="147" spans="6:6" x14ac:dyDescent="0.2">
      <c r="F147"/>
    </row>
    <row r="148" spans="6:6" x14ac:dyDescent="0.2">
      <c r="F148"/>
    </row>
    <row r="149" spans="6:6" x14ac:dyDescent="0.2">
      <c r="F149"/>
    </row>
    <row r="150" spans="6:6" x14ac:dyDescent="0.2">
      <c r="F150"/>
    </row>
    <row r="151" spans="6:6" x14ac:dyDescent="0.2">
      <c r="F151"/>
    </row>
    <row r="152" spans="6:6" x14ac:dyDescent="0.2">
      <c r="F152"/>
    </row>
    <row r="153" spans="6:6" x14ac:dyDescent="0.2">
      <c r="F153"/>
    </row>
    <row r="154" spans="6:6" x14ac:dyDescent="0.2">
      <c r="F154"/>
    </row>
    <row r="155" spans="6:6" x14ac:dyDescent="0.2">
      <c r="F155"/>
    </row>
    <row r="156" spans="6:6" x14ac:dyDescent="0.2">
      <c r="F156"/>
    </row>
    <row r="157" spans="6:6" x14ac:dyDescent="0.2">
      <c r="F157"/>
    </row>
    <row r="158" spans="6:6" x14ac:dyDescent="0.2">
      <c r="F158"/>
    </row>
    <row r="159" spans="6:6" x14ac:dyDescent="0.2">
      <c r="F159"/>
    </row>
    <row r="160" spans="6:6" x14ac:dyDescent="0.2">
      <c r="F160"/>
    </row>
    <row r="161" spans="6:6" x14ac:dyDescent="0.2">
      <c r="F161"/>
    </row>
    <row r="162" spans="6:6" x14ac:dyDescent="0.2">
      <c r="F162"/>
    </row>
    <row r="163" spans="6:6" x14ac:dyDescent="0.2">
      <c r="F163"/>
    </row>
    <row r="164" spans="6:6" x14ac:dyDescent="0.2">
      <c r="F164"/>
    </row>
    <row r="165" spans="6:6" x14ac:dyDescent="0.2">
      <c r="F165"/>
    </row>
    <row r="166" spans="6:6" x14ac:dyDescent="0.2">
      <c r="F166"/>
    </row>
    <row r="167" spans="6:6" x14ac:dyDescent="0.2">
      <c r="F167"/>
    </row>
    <row r="168" spans="6:6" x14ac:dyDescent="0.2">
      <c r="F168"/>
    </row>
    <row r="169" spans="6:6" x14ac:dyDescent="0.2">
      <c r="F169"/>
    </row>
    <row r="170" spans="6:6" x14ac:dyDescent="0.2">
      <c r="F170"/>
    </row>
    <row r="171" spans="6:6" x14ac:dyDescent="0.2">
      <c r="F171"/>
    </row>
    <row r="172" spans="6:6" x14ac:dyDescent="0.2">
      <c r="F172"/>
    </row>
    <row r="173" spans="6:6" x14ac:dyDescent="0.2">
      <c r="F173"/>
    </row>
    <row r="174" spans="6:6" x14ac:dyDescent="0.2">
      <c r="F174"/>
    </row>
    <row r="175" spans="6:6" x14ac:dyDescent="0.2">
      <c r="F175"/>
    </row>
    <row r="176" spans="6:6" x14ac:dyDescent="0.2">
      <c r="F176"/>
    </row>
    <row r="177" spans="6:6" x14ac:dyDescent="0.2">
      <c r="F177"/>
    </row>
    <row r="178" spans="6:6" x14ac:dyDescent="0.2">
      <c r="F178"/>
    </row>
    <row r="179" spans="6:6" x14ac:dyDescent="0.2">
      <c r="F179"/>
    </row>
    <row r="180" spans="6:6" x14ac:dyDescent="0.2">
      <c r="F180"/>
    </row>
    <row r="181" spans="6:6" x14ac:dyDescent="0.2">
      <c r="F181"/>
    </row>
    <row r="182" spans="6:6" x14ac:dyDescent="0.2">
      <c r="F182"/>
    </row>
    <row r="183" spans="6:6" x14ac:dyDescent="0.2">
      <c r="F183"/>
    </row>
    <row r="184" spans="6:6" x14ac:dyDescent="0.2">
      <c r="F184"/>
    </row>
    <row r="185" spans="6:6" x14ac:dyDescent="0.2">
      <c r="F185"/>
    </row>
    <row r="186" spans="6:6" x14ac:dyDescent="0.2">
      <c r="F186"/>
    </row>
    <row r="187" spans="6:6" x14ac:dyDescent="0.2">
      <c r="F187"/>
    </row>
    <row r="188" spans="6:6" x14ac:dyDescent="0.2">
      <c r="F188"/>
    </row>
    <row r="189" spans="6:6" x14ac:dyDescent="0.2">
      <c r="F189"/>
    </row>
    <row r="190" spans="6:6" x14ac:dyDescent="0.2">
      <c r="F190"/>
    </row>
    <row r="191" spans="6:6" x14ac:dyDescent="0.2">
      <c r="F191"/>
    </row>
    <row r="192" spans="6:6" x14ac:dyDescent="0.2">
      <c r="F192"/>
    </row>
    <row r="193" spans="6:6" x14ac:dyDescent="0.2">
      <c r="F193"/>
    </row>
    <row r="194" spans="6:6" x14ac:dyDescent="0.2">
      <c r="F194"/>
    </row>
    <row r="195" spans="6:6" x14ac:dyDescent="0.2">
      <c r="F195"/>
    </row>
    <row r="196" spans="6:6" x14ac:dyDescent="0.2">
      <c r="F196"/>
    </row>
    <row r="197" spans="6:6" x14ac:dyDescent="0.2">
      <c r="F197"/>
    </row>
    <row r="198" spans="6:6" x14ac:dyDescent="0.2">
      <c r="F198"/>
    </row>
    <row r="199" spans="6:6" x14ac:dyDescent="0.2">
      <c r="F199"/>
    </row>
    <row r="200" spans="6:6" x14ac:dyDescent="0.2">
      <c r="F200"/>
    </row>
    <row r="201" spans="6:6" x14ac:dyDescent="0.2">
      <c r="F201"/>
    </row>
    <row r="202" spans="6:6" x14ac:dyDescent="0.2">
      <c r="F202"/>
    </row>
    <row r="203" spans="6:6" x14ac:dyDescent="0.2">
      <c r="F203"/>
    </row>
    <row r="204" spans="6:6" x14ac:dyDescent="0.2">
      <c r="F204"/>
    </row>
    <row r="205" spans="6:6" x14ac:dyDescent="0.2">
      <c r="F205"/>
    </row>
    <row r="206" spans="6:6" x14ac:dyDescent="0.2">
      <c r="F206"/>
    </row>
    <row r="207" spans="6:6" x14ac:dyDescent="0.2">
      <c r="F207"/>
    </row>
    <row r="208" spans="6:6" x14ac:dyDescent="0.2">
      <c r="F208"/>
    </row>
    <row r="209" spans="6:6" x14ac:dyDescent="0.2">
      <c r="F209"/>
    </row>
    <row r="210" spans="6:6" x14ac:dyDescent="0.2">
      <c r="F210"/>
    </row>
    <row r="211" spans="6:6" x14ac:dyDescent="0.2">
      <c r="F211"/>
    </row>
    <row r="212" spans="6:6" x14ac:dyDescent="0.2">
      <c r="F212"/>
    </row>
    <row r="213" spans="6:6" x14ac:dyDescent="0.2">
      <c r="F213"/>
    </row>
    <row r="214" spans="6:6" x14ac:dyDescent="0.2">
      <c r="F214"/>
    </row>
    <row r="215" spans="6:6" x14ac:dyDescent="0.2">
      <c r="F215"/>
    </row>
    <row r="216" spans="6:6" x14ac:dyDescent="0.2">
      <c r="F216"/>
    </row>
    <row r="217" spans="6:6" x14ac:dyDescent="0.2">
      <c r="F217"/>
    </row>
    <row r="218" spans="6:6" x14ac:dyDescent="0.2">
      <c r="F218"/>
    </row>
    <row r="219" spans="6:6" x14ac:dyDescent="0.2">
      <c r="F219"/>
    </row>
    <row r="220" spans="6:6" x14ac:dyDescent="0.2">
      <c r="F220"/>
    </row>
    <row r="221" spans="6:6" x14ac:dyDescent="0.2">
      <c r="F221"/>
    </row>
    <row r="222" spans="6:6" x14ac:dyDescent="0.2">
      <c r="F222"/>
    </row>
    <row r="223" spans="6:6" x14ac:dyDescent="0.2">
      <c r="F223"/>
    </row>
    <row r="224" spans="6:6" x14ac:dyDescent="0.2">
      <c r="F224"/>
    </row>
    <row r="225" spans="6:6" x14ac:dyDescent="0.2">
      <c r="F225"/>
    </row>
    <row r="226" spans="6:6" x14ac:dyDescent="0.2">
      <c r="F226"/>
    </row>
    <row r="227" spans="6:6" x14ac:dyDescent="0.2">
      <c r="F227"/>
    </row>
    <row r="228" spans="6:6" x14ac:dyDescent="0.2">
      <c r="F228"/>
    </row>
    <row r="229" spans="6:6" x14ac:dyDescent="0.2">
      <c r="F229"/>
    </row>
    <row r="230" spans="6:6" x14ac:dyDescent="0.2">
      <c r="F230"/>
    </row>
    <row r="231" spans="6:6" x14ac:dyDescent="0.2">
      <c r="F231"/>
    </row>
    <row r="232" spans="6:6" x14ac:dyDescent="0.2">
      <c r="F232"/>
    </row>
    <row r="233" spans="6:6" x14ac:dyDescent="0.2">
      <c r="F233"/>
    </row>
    <row r="234" spans="6:6" x14ac:dyDescent="0.2">
      <c r="F234"/>
    </row>
    <row r="235" spans="6:6" x14ac:dyDescent="0.2">
      <c r="F235"/>
    </row>
    <row r="236" spans="6:6" x14ac:dyDescent="0.2">
      <c r="F236"/>
    </row>
    <row r="237" spans="6:6" x14ac:dyDescent="0.2">
      <c r="F237"/>
    </row>
    <row r="238" spans="6:6" x14ac:dyDescent="0.2">
      <c r="F238"/>
    </row>
    <row r="239" spans="6:6" x14ac:dyDescent="0.2">
      <c r="F239"/>
    </row>
    <row r="240" spans="6:6" x14ac:dyDescent="0.2">
      <c r="F240"/>
    </row>
    <row r="241" spans="6:6" x14ac:dyDescent="0.2">
      <c r="F241"/>
    </row>
    <row r="242" spans="6:6" x14ac:dyDescent="0.2">
      <c r="F242"/>
    </row>
    <row r="243" spans="6:6" x14ac:dyDescent="0.2">
      <c r="F243"/>
    </row>
    <row r="244" spans="6:6" x14ac:dyDescent="0.2">
      <c r="F244"/>
    </row>
    <row r="245" spans="6:6" x14ac:dyDescent="0.2">
      <c r="F245"/>
    </row>
    <row r="246" spans="6:6" x14ac:dyDescent="0.2">
      <c r="F246"/>
    </row>
    <row r="247" spans="6:6" x14ac:dyDescent="0.2">
      <c r="F247"/>
    </row>
    <row r="248" spans="6:6" x14ac:dyDescent="0.2">
      <c r="F248"/>
    </row>
    <row r="249" spans="6:6" x14ac:dyDescent="0.2">
      <c r="F249"/>
    </row>
    <row r="250" spans="6:6" x14ac:dyDescent="0.2">
      <c r="F250"/>
    </row>
    <row r="251" spans="6:6" x14ac:dyDescent="0.2">
      <c r="F251"/>
    </row>
    <row r="252" spans="6:6" x14ac:dyDescent="0.2">
      <c r="F252"/>
    </row>
    <row r="253" spans="6:6" x14ac:dyDescent="0.2">
      <c r="F253"/>
    </row>
    <row r="254" spans="6:6" x14ac:dyDescent="0.2">
      <c r="F254"/>
    </row>
    <row r="255" spans="6:6" x14ac:dyDescent="0.2">
      <c r="F255"/>
    </row>
    <row r="256" spans="6:6" x14ac:dyDescent="0.2">
      <c r="F256"/>
    </row>
    <row r="257" spans="6:6" x14ac:dyDescent="0.2">
      <c r="F257"/>
    </row>
    <row r="258" spans="6:6" x14ac:dyDescent="0.2">
      <c r="F258"/>
    </row>
    <row r="259" spans="6:6" x14ac:dyDescent="0.2">
      <c r="F259"/>
    </row>
    <row r="260" spans="6:6" x14ac:dyDescent="0.2">
      <c r="F260"/>
    </row>
    <row r="261" spans="6:6" x14ac:dyDescent="0.2">
      <c r="F261"/>
    </row>
    <row r="262" spans="6:6" x14ac:dyDescent="0.2">
      <c r="F262"/>
    </row>
    <row r="263" spans="6:6" x14ac:dyDescent="0.2">
      <c r="F263"/>
    </row>
    <row r="264" spans="6:6" x14ac:dyDescent="0.2">
      <c r="F264"/>
    </row>
    <row r="265" spans="6:6" x14ac:dyDescent="0.2">
      <c r="F265"/>
    </row>
    <row r="266" spans="6:6" x14ac:dyDescent="0.2">
      <c r="F266"/>
    </row>
    <row r="267" spans="6:6" x14ac:dyDescent="0.2">
      <c r="F267"/>
    </row>
    <row r="268" spans="6:6" x14ac:dyDescent="0.2">
      <c r="F268"/>
    </row>
    <row r="269" spans="6:6" x14ac:dyDescent="0.2">
      <c r="F269"/>
    </row>
    <row r="270" spans="6:6" x14ac:dyDescent="0.2">
      <c r="F270"/>
    </row>
    <row r="271" spans="6:6" x14ac:dyDescent="0.2">
      <c r="F271"/>
    </row>
    <row r="272" spans="6:6" x14ac:dyDescent="0.2">
      <c r="F272"/>
    </row>
    <row r="273" spans="6:6" x14ac:dyDescent="0.2">
      <c r="F273"/>
    </row>
    <row r="274" spans="6:6" x14ac:dyDescent="0.2">
      <c r="F274"/>
    </row>
    <row r="275" spans="6:6" x14ac:dyDescent="0.2">
      <c r="F275"/>
    </row>
    <row r="276" spans="6:6" x14ac:dyDescent="0.2">
      <c r="F276"/>
    </row>
    <row r="277" spans="6:6" x14ac:dyDescent="0.2">
      <c r="F277"/>
    </row>
    <row r="278" spans="6:6" x14ac:dyDescent="0.2">
      <c r="F278"/>
    </row>
    <row r="279" spans="6:6" x14ac:dyDescent="0.2">
      <c r="F279"/>
    </row>
    <row r="280" spans="6:6" x14ac:dyDescent="0.2">
      <c r="F280"/>
    </row>
    <row r="281" spans="6:6" x14ac:dyDescent="0.2">
      <c r="F281"/>
    </row>
    <row r="282" spans="6:6" x14ac:dyDescent="0.2">
      <c r="F282"/>
    </row>
    <row r="283" spans="6:6" x14ac:dyDescent="0.2">
      <c r="F283"/>
    </row>
    <row r="284" spans="6:6" x14ac:dyDescent="0.2">
      <c r="F284"/>
    </row>
    <row r="285" spans="6:6" x14ac:dyDescent="0.2">
      <c r="F285"/>
    </row>
    <row r="286" spans="6:6" x14ac:dyDescent="0.2">
      <c r="F286"/>
    </row>
    <row r="287" spans="6:6" x14ac:dyDescent="0.2">
      <c r="F287"/>
    </row>
    <row r="288" spans="6:6" x14ac:dyDescent="0.2">
      <c r="F288"/>
    </row>
    <row r="289" spans="6:6" x14ac:dyDescent="0.2">
      <c r="F289"/>
    </row>
    <row r="290" spans="6:6" x14ac:dyDescent="0.2">
      <c r="F290"/>
    </row>
    <row r="291" spans="6:6" x14ac:dyDescent="0.2">
      <c r="F291"/>
    </row>
    <row r="292" spans="6:6" x14ac:dyDescent="0.2">
      <c r="F292"/>
    </row>
    <row r="293" spans="6:6" x14ac:dyDescent="0.2">
      <c r="F293"/>
    </row>
  </sheetData>
  <sheetProtection selectLockedCells="1" selectUnlockedCells="1"/>
  <customSheetViews>
    <customSheetView guid="{B2A5A4D4-6CB8-42F5-BC08-2FAB393FA19C}" hiddenRows="1">
      <pane ySplit="2" topLeftCell="A3" activePane="bottomLeft" state="frozen"/>
      <selection pane="bottomLeft" activeCell="C23" sqref="C23:J23"/>
      <pageMargins left="0.7" right="0.7" top="0.75" bottom="0.75" header="0.3" footer="0.3"/>
      <pageSetup paperSize="9" orientation="portrait" r:id="rId1"/>
    </customSheetView>
  </customSheetViews>
  <pageMargins left="0.7" right="0.7" top="0.75" bottom="0.75" header="0.3" footer="0.3"/>
  <pageSetup paperSize="9" orientation="portrait" r:id="rId2"/>
  <ignoredErrors>
    <ignoredError sqref="H3:H20 G29:G46 D28 E21:F21 E23 D47" emptyCellReference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-0.249977111117893"/>
  </sheetPr>
  <dimension ref="A2:X23"/>
  <sheetViews>
    <sheetView workbookViewId="0">
      <pane xSplit="2" topLeftCell="C1" activePane="topRight" state="frozen"/>
      <selection pane="topRight" activeCell="A12" sqref="A12:XFD12"/>
    </sheetView>
  </sheetViews>
  <sheetFormatPr baseColWidth="10" defaultColWidth="8.83203125" defaultRowHeight="15" x14ac:dyDescent="0.2"/>
  <cols>
    <col min="1" max="1" width="6.5" customWidth="1"/>
    <col min="2" max="2" width="25.5" customWidth="1"/>
    <col min="3" max="4" width="14.6640625" style="14" customWidth="1"/>
    <col min="5" max="5" width="11.83203125" style="14" customWidth="1"/>
    <col min="6" max="7" width="12" style="14" customWidth="1"/>
    <col min="8" max="8" width="11.83203125" style="14" customWidth="1"/>
    <col min="9" max="9" width="9.1640625" style="14" customWidth="1"/>
    <col min="10" max="10" width="7.6640625" style="14" customWidth="1"/>
    <col min="11" max="11" width="8" style="14" customWidth="1"/>
    <col min="12" max="12" width="9.83203125" style="14" customWidth="1"/>
    <col min="13" max="13" width="7.83203125" style="14" customWidth="1"/>
    <col min="14" max="14" width="10.1640625" style="14" customWidth="1"/>
    <col min="15" max="15" width="8.5" style="14" customWidth="1"/>
    <col min="16" max="16" width="14.83203125" style="14" customWidth="1"/>
    <col min="17" max="17" width="12.33203125" style="14" customWidth="1"/>
    <col min="18" max="18" width="14.6640625" style="14" customWidth="1"/>
    <col min="19" max="19" width="15.33203125" style="14" customWidth="1"/>
    <col min="20" max="20" width="9.1640625" style="14"/>
    <col min="21" max="21" width="12.33203125" style="14" customWidth="1"/>
    <col min="22" max="22" width="9.1640625" style="14"/>
    <col min="23" max="23" width="16.83203125" style="14" customWidth="1"/>
    <col min="24" max="24" width="11.5" style="35" customWidth="1"/>
  </cols>
  <sheetData>
    <row r="2" spans="1:24" ht="21" x14ac:dyDescent="0.25">
      <c r="E2" s="23" t="s">
        <v>44</v>
      </c>
      <c r="L2" s="23" t="s">
        <v>44</v>
      </c>
    </row>
    <row r="3" spans="1:24" x14ac:dyDescent="0.2">
      <c r="A3" t="s">
        <v>22</v>
      </c>
      <c r="B3" s="1">
        <v>100000</v>
      </c>
      <c r="W3" s="24"/>
    </row>
    <row r="4" spans="1:24" ht="12.75" customHeight="1" x14ac:dyDescent="0.2">
      <c r="A4" s="2" t="s">
        <v>0</v>
      </c>
      <c r="B4" s="8" t="s">
        <v>1</v>
      </c>
      <c r="C4" s="26">
        <v>45627</v>
      </c>
      <c r="D4" s="26">
        <v>45658</v>
      </c>
      <c r="E4" s="26">
        <v>45689</v>
      </c>
      <c r="F4" s="26">
        <v>45717</v>
      </c>
      <c r="G4" s="26">
        <v>45748</v>
      </c>
      <c r="H4" s="26">
        <v>45778</v>
      </c>
      <c r="I4" s="26">
        <v>45809</v>
      </c>
      <c r="J4" s="26">
        <v>45839</v>
      </c>
      <c r="K4" s="26">
        <v>45870</v>
      </c>
      <c r="L4" s="26">
        <v>45901</v>
      </c>
      <c r="M4" s="26">
        <v>45931</v>
      </c>
      <c r="N4" s="26">
        <v>45962</v>
      </c>
      <c r="O4" s="26">
        <v>45992</v>
      </c>
      <c r="P4" s="27" t="s">
        <v>130</v>
      </c>
      <c r="Q4" s="36" t="s">
        <v>23</v>
      </c>
      <c r="R4" s="2" t="s">
        <v>136</v>
      </c>
      <c r="S4"/>
      <c r="T4"/>
      <c r="U4"/>
      <c r="V4"/>
      <c r="W4"/>
      <c r="X4"/>
    </row>
    <row r="5" spans="1:24" x14ac:dyDescent="0.2">
      <c r="A5" s="2">
        <v>1</v>
      </c>
      <c r="B5" t="s">
        <v>62</v>
      </c>
      <c r="C5" s="134">
        <v>100000</v>
      </c>
      <c r="D5" s="134">
        <v>100000</v>
      </c>
      <c r="E5" s="134">
        <v>200000</v>
      </c>
      <c r="F5" s="134">
        <v>100000</v>
      </c>
      <c r="G5" s="134">
        <v>200000</v>
      </c>
      <c r="H5" s="134">
        <v>200000</v>
      </c>
      <c r="I5" s="134"/>
      <c r="J5" s="134"/>
      <c r="K5" s="134"/>
      <c r="L5" s="134"/>
      <c r="M5" s="134"/>
      <c r="N5" s="134"/>
      <c r="O5" s="134"/>
      <c r="P5" s="135">
        <f>SUM(C5:O5)</f>
        <v>900000</v>
      </c>
      <c r="Q5" s="141">
        <f>P5/100000</f>
        <v>9</v>
      </c>
      <c r="R5" s="67"/>
      <c r="S5"/>
      <c r="T5"/>
      <c r="U5"/>
      <c r="V5"/>
      <c r="W5"/>
      <c r="X5"/>
    </row>
    <row r="6" spans="1:24" x14ac:dyDescent="0.2">
      <c r="A6" s="2">
        <v>2</v>
      </c>
      <c r="B6" t="s">
        <v>34</v>
      </c>
      <c r="C6" s="134">
        <v>100000</v>
      </c>
      <c r="D6" s="134">
        <v>100000</v>
      </c>
      <c r="E6" s="134">
        <v>100000</v>
      </c>
      <c r="F6" s="134">
        <v>100000</v>
      </c>
      <c r="G6" s="134">
        <v>100000</v>
      </c>
      <c r="H6" s="134">
        <v>0</v>
      </c>
      <c r="I6" s="134"/>
      <c r="J6" s="134"/>
      <c r="K6" s="134"/>
      <c r="L6" s="134"/>
      <c r="M6" s="134"/>
      <c r="N6" s="134"/>
      <c r="O6" s="134"/>
      <c r="P6" s="135">
        <f t="shared" ref="P6:P22" si="0">SUM(C6:O6)</f>
        <v>500000</v>
      </c>
      <c r="Q6" s="141">
        <f t="shared" ref="Q6:Q22" si="1">P6/100000</f>
        <v>5</v>
      </c>
      <c r="R6" s="67"/>
      <c r="S6"/>
      <c r="T6"/>
      <c r="U6"/>
      <c r="V6"/>
      <c r="W6"/>
      <c r="X6"/>
    </row>
    <row r="7" spans="1:24" x14ac:dyDescent="0.2">
      <c r="A7" s="2">
        <v>3</v>
      </c>
      <c r="B7" t="s">
        <v>63</v>
      </c>
      <c r="C7" s="134">
        <v>300000</v>
      </c>
      <c r="D7" s="134">
        <v>300000</v>
      </c>
      <c r="E7" s="134">
        <v>200000</v>
      </c>
      <c r="F7" s="134">
        <v>200000</v>
      </c>
      <c r="G7" s="134">
        <v>300000</v>
      </c>
      <c r="H7" s="134">
        <v>100000</v>
      </c>
      <c r="I7" s="134"/>
      <c r="J7" s="134"/>
      <c r="K7" s="134"/>
      <c r="L7" s="134"/>
      <c r="M7" s="134"/>
      <c r="N7" s="134"/>
      <c r="O7" s="134"/>
      <c r="P7" s="135">
        <f t="shared" si="0"/>
        <v>1400000</v>
      </c>
      <c r="Q7" s="141">
        <f t="shared" si="1"/>
        <v>14</v>
      </c>
      <c r="R7" s="67"/>
      <c r="S7"/>
      <c r="T7"/>
      <c r="U7"/>
      <c r="V7"/>
      <c r="W7"/>
      <c r="X7"/>
    </row>
    <row r="8" spans="1:24" x14ac:dyDescent="0.2">
      <c r="A8" s="2">
        <v>4</v>
      </c>
      <c r="B8" t="s">
        <v>35</v>
      </c>
      <c r="C8" s="134">
        <v>300000</v>
      </c>
      <c r="D8" s="134">
        <v>500000</v>
      </c>
      <c r="E8" s="134">
        <v>500000</v>
      </c>
      <c r="F8" s="134">
        <v>500000</v>
      </c>
      <c r="G8" s="134">
        <v>500000</v>
      </c>
      <c r="H8" s="134">
        <v>500000</v>
      </c>
      <c r="I8" s="134"/>
      <c r="J8" s="134"/>
      <c r="K8" s="134"/>
      <c r="L8" s="134"/>
      <c r="M8" s="134"/>
      <c r="N8" s="134"/>
      <c r="O8" s="134"/>
      <c r="P8" s="135">
        <f t="shared" si="0"/>
        <v>2800000</v>
      </c>
      <c r="Q8" s="141">
        <f t="shared" si="1"/>
        <v>28</v>
      </c>
      <c r="R8" s="67"/>
      <c r="S8"/>
      <c r="T8"/>
      <c r="U8"/>
      <c r="V8"/>
      <c r="W8"/>
      <c r="X8"/>
    </row>
    <row r="9" spans="1:24" x14ac:dyDescent="0.2">
      <c r="A9" s="2">
        <v>5</v>
      </c>
      <c r="B9" t="s">
        <v>65</v>
      </c>
      <c r="C9" s="134">
        <v>1000000</v>
      </c>
      <c r="D9" s="134">
        <v>500000</v>
      </c>
      <c r="E9" s="134">
        <v>600000</v>
      </c>
      <c r="F9" s="134">
        <v>600000</v>
      </c>
      <c r="G9" s="134">
        <v>600000</v>
      </c>
      <c r="H9" s="134">
        <v>500000</v>
      </c>
      <c r="I9" s="134"/>
      <c r="J9" s="134"/>
      <c r="K9" s="134"/>
      <c r="L9" s="134"/>
      <c r="M9" s="134"/>
      <c r="N9" s="134"/>
      <c r="O9" s="134"/>
      <c r="P9" s="135">
        <f t="shared" si="0"/>
        <v>3800000</v>
      </c>
      <c r="Q9" s="141">
        <f t="shared" si="1"/>
        <v>38</v>
      </c>
      <c r="R9" s="67"/>
      <c r="S9"/>
      <c r="T9"/>
      <c r="U9"/>
      <c r="V9"/>
      <c r="W9"/>
      <c r="X9"/>
    </row>
    <row r="10" spans="1:24" x14ac:dyDescent="0.2">
      <c r="A10" s="2">
        <v>6</v>
      </c>
      <c r="B10" t="s">
        <v>36</v>
      </c>
      <c r="C10" s="134">
        <v>1000000</v>
      </c>
      <c r="D10" s="134">
        <v>1000000</v>
      </c>
      <c r="E10" s="134">
        <v>0</v>
      </c>
      <c r="F10" s="134">
        <v>0</v>
      </c>
      <c r="G10" s="134">
        <v>0</v>
      </c>
      <c r="H10" s="134">
        <v>0</v>
      </c>
      <c r="I10" s="134"/>
      <c r="J10" s="134"/>
      <c r="K10" s="134"/>
      <c r="L10" s="134"/>
      <c r="M10" s="134"/>
      <c r="N10" s="134"/>
      <c r="O10" s="134"/>
      <c r="P10" s="135">
        <f t="shared" si="0"/>
        <v>2000000</v>
      </c>
      <c r="Q10" s="141">
        <f t="shared" si="1"/>
        <v>20</v>
      </c>
      <c r="R10" s="67"/>
      <c r="S10"/>
      <c r="T10"/>
      <c r="U10"/>
      <c r="V10"/>
      <c r="W10"/>
      <c r="X10"/>
    </row>
    <row r="11" spans="1:24" x14ac:dyDescent="0.2">
      <c r="A11" s="2">
        <v>7</v>
      </c>
      <c r="B11" t="s">
        <v>37</v>
      </c>
      <c r="C11" s="134">
        <v>100000</v>
      </c>
      <c r="D11" s="134">
        <v>200000</v>
      </c>
      <c r="E11" s="134">
        <v>200000</v>
      </c>
      <c r="F11" s="134">
        <v>200000</v>
      </c>
      <c r="G11" s="134">
        <v>200000</v>
      </c>
      <c r="H11" s="134">
        <v>200000</v>
      </c>
      <c r="I11" s="134"/>
      <c r="J11" s="134"/>
      <c r="K11" s="134"/>
      <c r="L11" s="134"/>
      <c r="M11" s="134"/>
      <c r="N11" s="134"/>
      <c r="O11" s="134"/>
      <c r="P11" s="135">
        <f t="shared" si="0"/>
        <v>1100000</v>
      </c>
      <c r="Q11" s="141">
        <f t="shared" si="1"/>
        <v>11</v>
      </c>
      <c r="R11" s="67"/>
      <c r="S11"/>
      <c r="T11"/>
      <c r="U11"/>
      <c r="V11"/>
      <c r="W11"/>
      <c r="X11"/>
    </row>
    <row r="12" spans="1:24" x14ac:dyDescent="0.2">
      <c r="A12" s="2">
        <v>8</v>
      </c>
      <c r="B12" t="s">
        <v>61</v>
      </c>
      <c r="C12" s="134">
        <v>500000</v>
      </c>
      <c r="D12" s="134">
        <v>300000</v>
      </c>
      <c r="E12" s="134">
        <v>400000</v>
      </c>
      <c r="F12" s="134">
        <v>300000</v>
      </c>
      <c r="G12" s="134">
        <v>1000000</v>
      </c>
      <c r="H12" s="134">
        <v>0</v>
      </c>
      <c r="I12" s="134"/>
      <c r="J12" s="134"/>
      <c r="K12" s="134"/>
      <c r="L12" s="134"/>
      <c r="M12" s="134"/>
      <c r="N12" s="134"/>
      <c r="O12" s="134"/>
      <c r="P12" s="135">
        <f t="shared" si="0"/>
        <v>2500000</v>
      </c>
      <c r="Q12" s="141">
        <f t="shared" si="1"/>
        <v>25</v>
      </c>
      <c r="R12" s="67"/>
      <c r="S12"/>
      <c r="T12"/>
      <c r="U12"/>
      <c r="V12"/>
      <c r="W12"/>
      <c r="X12"/>
    </row>
    <row r="13" spans="1:24" x14ac:dyDescent="0.2">
      <c r="A13" s="2">
        <v>9</v>
      </c>
      <c r="B13" t="s">
        <v>38</v>
      </c>
      <c r="C13" s="134">
        <v>100000</v>
      </c>
      <c r="D13" s="134">
        <v>200000</v>
      </c>
      <c r="E13" s="134">
        <v>100000</v>
      </c>
      <c r="F13" s="134">
        <v>100000</v>
      </c>
      <c r="G13" s="134">
        <v>0</v>
      </c>
      <c r="H13" s="134">
        <v>0</v>
      </c>
      <c r="I13" s="134"/>
      <c r="J13" s="134"/>
      <c r="K13" s="134"/>
      <c r="L13" s="134"/>
      <c r="M13" s="134"/>
      <c r="N13" s="134"/>
      <c r="O13" s="134"/>
      <c r="P13" s="135">
        <f t="shared" si="0"/>
        <v>500000</v>
      </c>
      <c r="Q13" s="141">
        <f t="shared" si="1"/>
        <v>5</v>
      </c>
      <c r="R13" s="67"/>
      <c r="S13"/>
      <c r="T13"/>
      <c r="U13"/>
      <c r="V13"/>
      <c r="W13"/>
      <c r="X13"/>
    </row>
    <row r="14" spans="1:24" x14ac:dyDescent="0.2">
      <c r="A14" s="2">
        <v>10</v>
      </c>
      <c r="B14" t="s">
        <v>52</v>
      </c>
      <c r="C14" s="134">
        <v>100000</v>
      </c>
      <c r="D14" s="134">
        <v>100000</v>
      </c>
      <c r="E14" s="134">
        <v>100000</v>
      </c>
      <c r="F14" s="134">
        <v>100000</v>
      </c>
      <c r="G14" s="134">
        <v>100000</v>
      </c>
      <c r="H14" s="134">
        <v>0</v>
      </c>
      <c r="I14" s="134"/>
      <c r="J14" s="134"/>
      <c r="K14" s="134"/>
      <c r="L14" s="134"/>
      <c r="M14" s="134"/>
      <c r="N14" s="134"/>
      <c r="O14" s="134"/>
      <c r="P14" s="135">
        <f t="shared" si="0"/>
        <v>500000</v>
      </c>
      <c r="Q14" s="141">
        <f t="shared" si="1"/>
        <v>5</v>
      </c>
      <c r="R14" s="67"/>
      <c r="S14"/>
      <c r="T14"/>
      <c r="U14"/>
      <c r="V14"/>
      <c r="W14"/>
      <c r="X14"/>
    </row>
    <row r="15" spans="1:24" x14ac:dyDescent="0.2">
      <c r="A15" s="2">
        <v>11</v>
      </c>
      <c r="B15" t="s">
        <v>39</v>
      </c>
      <c r="C15" s="134">
        <v>100000</v>
      </c>
      <c r="D15" s="134">
        <v>100000</v>
      </c>
      <c r="E15" s="134">
        <v>200000</v>
      </c>
      <c r="F15" s="134">
        <v>100000</v>
      </c>
      <c r="G15" s="134">
        <v>100000</v>
      </c>
      <c r="H15" s="134">
        <v>0</v>
      </c>
      <c r="I15" s="134"/>
      <c r="J15" s="134"/>
      <c r="K15" s="134"/>
      <c r="L15" s="134"/>
      <c r="M15" s="134"/>
      <c r="N15" s="134"/>
      <c r="O15" s="134"/>
      <c r="P15" s="135">
        <f t="shared" si="0"/>
        <v>600000</v>
      </c>
      <c r="Q15" s="141">
        <f t="shared" si="1"/>
        <v>6</v>
      </c>
      <c r="R15" s="67"/>
      <c r="S15"/>
      <c r="T15"/>
      <c r="U15"/>
      <c r="V15"/>
      <c r="W15"/>
      <c r="X15"/>
    </row>
    <row r="16" spans="1:24" x14ac:dyDescent="0.2">
      <c r="A16" s="2">
        <v>12</v>
      </c>
      <c r="B16" t="s">
        <v>60</v>
      </c>
      <c r="C16" s="134">
        <v>3000000</v>
      </c>
      <c r="D16" s="134">
        <v>3000000</v>
      </c>
      <c r="E16" s="134">
        <v>3000000</v>
      </c>
      <c r="F16" s="134">
        <v>1000000</v>
      </c>
      <c r="G16" s="134">
        <v>1000000</v>
      </c>
      <c r="H16" s="134">
        <v>0</v>
      </c>
      <c r="I16" s="134"/>
      <c r="J16" s="134"/>
      <c r="K16" s="134"/>
      <c r="L16" s="134"/>
      <c r="M16" s="134"/>
      <c r="N16" s="134"/>
      <c r="O16" s="134"/>
      <c r="P16" s="135">
        <f t="shared" si="0"/>
        <v>11000000</v>
      </c>
      <c r="Q16" s="141">
        <f t="shared" si="1"/>
        <v>110</v>
      </c>
      <c r="R16" s="67">
        <f>2000000</f>
        <v>2000000</v>
      </c>
      <c r="S16" s="128">
        <f>P16+R16</f>
        <v>13000000</v>
      </c>
      <c r="T16"/>
      <c r="U16"/>
      <c r="V16"/>
      <c r="W16"/>
      <c r="X16"/>
    </row>
    <row r="17" spans="1:24" x14ac:dyDescent="0.2">
      <c r="A17" s="2">
        <v>13</v>
      </c>
      <c r="B17" t="s">
        <v>40</v>
      </c>
      <c r="C17" s="134">
        <v>300000</v>
      </c>
      <c r="D17" s="134">
        <v>100000</v>
      </c>
      <c r="E17" s="134">
        <v>100000</v>
      </c>
      <c r="F17" s="134">
        <v>300000</v>
      </c>
      <c r="G17" s="134">
        <v>0</v>
      </c>
      <c r="H17" s="134">
        <v>0</v>
      </c>
      <c r="I17" s="134"/>
      <c r="J17" s="134"/>
      <c r="K17" s="134"/>
      <c r="L17" s="134"/>
      <c r="M17" s="134"/>
      <c r="N17" s="134"/>
      <c r="O17" s="134"/>
      <c r="P17" s="135">
        <f t="shared" si="0"/>
        <v>800000</v>
      </c>
      <c r="Q17" s="141">
        <f t="shared" si="1"/>
        <v>8</v>
      </c>
      <c r="R17" s="67"/>
      <c r="S17"/>
      <c r="T17"/>
      <c r="U17"/>
      <c r="V17"/>
      <c r="W17"/>
      <c r="X17"/>
    </row>
    <row r="18" spans="1:24" x14ac:dyDescent="0.2">
      <c r="A18" s="2">
        <v>14</v>
      </c>
      <c r="B18" t="s">
        <v>66</v>
      </c>
      <c r="C18" s="134">
        <v>1000000</v>
      </c>
      <c r="D18" s="134">
        <v>1000000</v>
      </c>
      <c r="E18" s="134">
        <v>1000000</v>
      </c>
      <c r="F18" s="134">
        <v>1000000</v>
      </c>
      <c r="G18" s="134">
        <v>1000000</v>
      </c>
      <c r="H18" s="134">
        <v>1000000</v>
      </c>
      <c r="I18" s="134"/>
      <c r="J18" s="134"/>
      <c r="K18" s="134"/>
      <c r="L18" s="134"/>
      <c r="M18" s="134"/>
      <c r="N18" s="134"/>
      <c r="O18" s="134"/>
      <c r="P18" s="135">
        <f t="shared" si="0"/>
        <v>6000000</v>
      </c>
      <c r="Q18" s="141">
        <f t="shared" si="1"/>
        <v>60</v>
      </c>
      <c r="R18" s="67"/>
      <c r="S18"/>
      <c r="T18"/>
      <c r="U18"/>
      <c r="V18"/>
      <c r="W18"/>
      <c r="X18"/>
    </row>
    <row r="19" spans="1:24" x14ac:dyDescent="0.2">
      <c r="A19" s="2">
        <v>15</v>
      </c>
      <c r="B19" t="s">
        <v>41</v>
      </c>
      <c r="C19" s="136">
        <v>200000</v>
      </c>
      <c r="D19" s="136">
        <v>100000</v>
      </c>
      <c r="E19" s="136">
        <v>100000</v>
      </c>
      <c r="F19" s="136">
        <v>200000</v>
      </c>
      <c r="G19" s="136">
        <v>200000</v>
      </c>
      <c r="H19" s="134">
        <v>0</v>
      </c>
      <c r="I19" s="136"/>
      <c r="J19" s="136"/>
      <c r="K19" s="136"/>
      <c r="L19" s="136"/>
      <c r="M19" s="136"/>
      <c r="N19" s="136"/>
      <c r="O19" s="136"/>
      <c r="P19" s="137">
        <f>SUM(C19:O19)</f>
        <v>800000</v>
      </c>
      <c r="Q19" s="142">
        <f t="shared" si="1"/>
        <v>8</v>
      </c>
      <c r="R19" s="67"/>
      <c r="S19"/>
      <c r="T19"/>
      <c r="U19"/>
      <c r="V19"/>
      <c r="W19"/>
      <c r="X19"/>
    </row>
    <row r="20" spans="1:24" x14ac:dyDescent="0.2">
      <c r="A20" s="2">
        <v>16</v>
      </c>
      <c r="B20" t="s">
        <v>42</v>
      </c>
      <c r="C20" s="136">
        <v>100000</v>
      </c>
      <c r="D20" s="136">
        <v>100000</v>
      </c>
      <c r="E20" s="136">
        <v>100000</v>
      </c>
      <c r="F20" s="136">
        <v>100000</v>
      </c>
      <c r="G20" s="136">
        <v>100000</v>
      </c>
      <c r="H20" s="134">
        <v>100000</v>
      </c>
      <c r="I20" s="136"/>
      <c r="J20" s="136"/>
      <c r="K20" s="136"/>
      <c r="L20" s="136"/>
      <c r="M20" s="136"/>
      <c r="N20" s="136"/>
      <c r="O20" s="136"/>
      <c r="P20" s="137">
        <f t="shared" si="0"/>
        <v>600000</v>
      </c>
      <c r="Q20" s="142">
        <f t="shared" si="1"/>
        <v>6</v>
      </c>
      <c r="R20" s="67"/>
      <c r="S20"/>
      <c r="T20"/>
      <c r="U20"/>
      <c r="V20"/>
      <c r="W20"/>
      <c r="X20"/>
    </row>
    <row r="21" spans="1:24" x14ac:dyDescent="0.2">
      <c r="A21" s="2">
        <v>17</v>
      </c>
      <c r="B21" t="s">
        <v>43</v>
      </c>
      <c r="C21" s="136">
        <v>200000</v>
      </c>
      <c r="D21" s="136">
        <v>100000</v>
      </c>
      <c r="E21" s="136">
        <v>100000</v>
      </c>
      <c r="F21" s="136">
        <v>100000</v>
      </c>
      <c r="G21" s="136">
        <v>100000</v>
      </c>
      <c r="H21" s="134">
        <v>100000</v>
      </c>
      <c r="I21" s="136"/>
      <c r="J21" s="136"/>
      <c r="K21" s="136"/>
      <c r="L21" s="136"/>
      <c r="M21" s="136"/>
      <c r="N21" s="136"/>
      <c r="O21" s="136"/>
      <c r="P21" s="137">
        <f t="shared" si="0"/>
        <v>700000</v>
      </c>
      <c r="Q21" s="142">
        <f t="shared" si="1"/>
        <v>7</v>
      </c>
      <c r="R21" s="67"/>
      <c r="S21"/>
      <c r="T21"/>
      <c r="U21"/>
      <c r="V21"/>
      <c r="W21"/>
      <c r="X21"/>
    </row>
    <row r="22" spans="1:24" ht="16" thickBot="1" x14ac:dyDescent="0.25">
      <c r="A22" s="2">
        <v>18</v>
      </c>
      <c r="B22" t="s">
        <v>64</v>
      </c>
      <c r="C22" s="136">
        <v>300000</v>
      </c>
      <c r="D22" s="136">
        <v>300000</v>
      </c>
      <c r="E22" s="136">
        <v>300000</v>
      </c>
      <c r="F22" s="136">
        <v>200000</v>
      </c>
      <c r="G22" s="136">
        <v>500000</v>
      </c>
      <c r="H22" s="136">
        <v>500000</v>
      </c>
      <c r="I22" s="136"/>
      <c r="J22" s="136"/>
      <c r="K22" s="136"/>
      <c r="L22" s="136"/>
      <c r="M22" s="136"/>
      <c r="N22" s="136"/>
      <c r="O22" s="136"/>
      <c r="P22" s="137">
        <f t="shared" si="0"/>
        <v>2100000</v>
      </c>
      <c r="Q22" s="142">
        <f t="shared" si="1"/>
        <v>21</v>
      </c>
      <c r="R22" s="67"/>
      <c r="S22"/>
      <c r="T22"/>
      <c r="U22"/>
      <c r="V22"/>
      <c r="W22"/>
      <c r="X22"/>
    </row>
    <row r="23" spans="1:24" ht="16" thickBot="1" x14ac:dyDescent="0.25">
      <c r="B23" s="2" t="s">
        <v>9</v>
      </c>
      <c r="C23" s="138">
        <f t="shared" ref="C23:H23" si="2">SUM(C5:C22)</f>
        <v>8800000</v>
      </c>
      <c r="D23" s="139">
        <f t="shared" si="2"/>
        <v>8100000</v>
      </c>
      <c r="E23" s="139">
        <f t="shared" si="2"/>
        <v>7300000</v>
      </c>
      <c r="F23" s="139">
        <f t="shared" si="2"/>
        <v>5200000</v>
      </c>
      <c r="G23" s="139">
        <f t="shared" si="2"/>
        <v>6000000</v>
      </c>
      <c r="H23" s="139">
        <f t="shared" si="2"/>
        <v>3200000</v>
      </c>
      <c r="I23" s="139"/>
      <c r="J23" s="139"/>
      <c r="K23" s="140"/>
      <c r="L23" s="140"/>
      <c r="M23" s="140"/>
      <c r="N23" s="140"/>
      <c r="O23" s="140"/>
      <c r="P23" s="139">
        <f>SUM(P5:P22)</f>
        <v>38600000</v>
      </c>
      <c r="Q23" s="143">
        <f t="shared" ref="Q23" si="3">SUM(Q5:Q22)</f>
        <v>386</v>
      </c>
      <c r="R23"/>
      <c r="S23"/>
      <c r="T23"/>
      <c r="U23"/>
      <c r="V23"/>
      <c r="W23"/>
      <c r="X23"/>
    </row>
  </sheetData>
  <customSheetViews>
    <customSheetView guid="{B2A5A4D4-6CB8-42F5-BC08-2FAB393FA19C}">
      <pane xSplit="2" topLeftCell="C1" activePane="topRight" state="frozen"/>
      <selection pane="topRight" activeCell="E8" sqref="E8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  <ignoredErrors>
    <ignoredError sqref="C23:H23" formulaRange="1"/>
    <ignoredError sqref="P5:P22" emptyCellReferenc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9" tint="-0.249977111117893"/>
  </sheetPr>
  <dimension ref="A1:U32"/>
  <sheetViews>
    <sheetView workbookViewId="0">
      <pane xSplit="2" topLeftCell="C1" activePane="topRight" state="frozen"/>
      <selection activeCell="A22" sqref="A22"/>
      <selection pane="topRight" activeCell="H13" sqref="H13"/>
    </sheetView>
  </sheetViews>
  <sheetFormatPr baseColWidth="10" defaultColWidth="8.83203125" defaultRowHeight="15" x14ac:dyDescent="0.2"/>
  <cols>
    <col min="1" max="1" width="5.33203125" customWidth="1"/>
    <col min="2" max="2" width="34.1640625" customWidth="1"/>
    <col min="3" max="5" width="11.5" customWidth="1"/>
    <col min="6" max="7" width="11.33203125" customWidth="1"/>
    <col min="8" max="8" width="13" customWidth="1"/>
    <col min="9" max="9" width="11.5" customWidth="1"/>
    <col min="10" max="10" width="11.83203125" customWidth="1"/>
    <col min="11" max="12" width="11.1640625" customWidth="1"/>
    <col min="13" max="15" width="11" customWidth="1"/>
    <col min="16" max="16" width="12.5" customWidth="1"/>
    <col min="17" max="17" width="13.83203125" bestFit="1" customWidth="1"/>
    <col min="18" max="20" width="13.5" customWidth="1"/>
    <col min="21" max="21" width="13.1640625" customWidth="1"/>
  </cols>
  <sheetData>
    <row r="1" spans="1:17" ht="19" x14ac:dyDescent="0.25">
      <c r="D1" s="4" t="s">
        <v>45</v>
      </c>
    </row>
    <row r="2" spans="1:17" x14ac:dyDescent="0.2">
      <c r="A2" s="2"/>
      <c r="B2" s="2"/>
      <c r="C2" s="26">
        <v>45627</v>
      </c>
      <c r="D2" s="26">
        <v>45658</v>
      </c>
      <c r="E2" s="26">
        <v>45689</v>
      </c>
      <c r="F2" s="26">
        <v>45717</v>
      </c>
      <c r="G2" s="26">
        <v>45748</v>
      </c>
      <c r="H2" s="26">
        <v>45778</v>
      </c>
      <c r="I2" s="26">
        <v>45809</v>
      </c>
      <c r="J2" s="26">
        <v>45839</v>
      </c>
      <c r="K2" s="26">
        <v>45870</v>
      </c>
      <c r="L2" s="26">
        <v>45901</v>
      </c>
      <c r="M2" s="26">
        <v>45931</v>
      </c>
      <c r="N2" s="26">
        <v>45962</v>
      </c>
      <c r="O2" s="26">
        <v>45992</v>
      </c>
    </row>
    <row r="3" spans="1:17" ht="25" x14ac:dyDescent="0.2">
      <c r="A3" s="2" t="s">
        <v>0</v>
      </c>
      <c r="B3" s="2" t="s">
        <v>1</v>
      </c>
      <c r="C3" s="6" t="s">
        <v>46</v>
      </c>
      <c r="D3" s="6" t="s">
        <v>46</v>
      </c>
      <c r="E3" s="6" t="s">
        <v>46</v>
      </c>
      <c r="F3" s="6" t="s">
        <v>46</v>
      </c>
      <c r="G3" s="6" t="s">
        <v>46</v>
      </c>
      <c r="H3" s="6" t="s">
        <v>46</v>
      </c>
      <c r="I3" s="6" t="s">
        <v>46</v>
      </c>
      <c r="J3" s="80" t="s">
        <v>46</v>
      </c>
      <c r="K3" s="80" t="s">
        <v>46</v>
      </c>
      <c r="L3" s="80" t="s">
        <v>46</v>
      </c>
      <c r="M3" s="80" t="s">
        <v>46</v>
      </c>
      <c r="N3" s="80" t="s">
        <v>46</v>
      </c>
      <c r="O3" s="80" t="s">
        <v>46</v>
      </c>
      <c r="P3" s="6" t="s">
        <v>5</v>
      </c>
    </row>
    <row r="4" spans="1:17" x14ac:dyDescent="0.2">
      <c r="A4" s="2">
        <v>1</v>
      </c>
      <c r="B4" t="s">
        <v>62</v>
      </c>
      <c r="C4" s="126">
        <v>15000</v>
      </c>
      <c r="D4" s="126">
        <v>15000</v>
      </c>
      <c r="E4" s="126">
        <v>15000</v>
      </c>
      <c r="F4" s="126">
        <v>15000</v>
      </c>
      <c r="G4" s="126">
        <v>15000</v>
      </c>
      <c r="H4" s="126">
        <v>15000</v>
      </c>
      <c r="I4" s="126"/>
      <c r="J4" s="126"/>
      <c r="K4" s="126"/>
      <c r="L4" s="126"/>
      <c r="M4" s="126"/>
      <c r="N4" s="126"/>
      <c r="O4" s="126"/>
      <c r="P4" s="128">
        <f>SUM(C4:O4)</f>
        <v>90000</v>
      </c>
      <c r="Q4" s="171">
        <v>0</v>
      </c>
    </row>
    <row r="5" spans="1:17" x14ac:dyDescent="0.2">
      <c r="A5" s="2">
        <v>2</v>
      </c>
      <c r="B5" t="s">
        <v>34</v>
      </c>
      <c r="C5" s="126">
        <v>15000</v>
      </c>
      <c r="D5" s="126">
        <v>15000</v>
      </c>
      <c r="E5" s="126">
        <v>15000</v>
      </c>
      <c r="F5" s="126">
        <v>15000</v>
      </c>
      <c r="G5" s="126">
        <v>15000</v>
      </c>
      <c r="H5" s="126"/>
      <c r="I5" s="126"/>
      <c r="J5" s="126"/>
      <c r="K5" s="126"/>
      <c r="L5" s="126"/>
      <c r="M5" s="126"/>
      <c r="N5" s="126"/>
      <c r="O5" s="126"/>
      <c r="P5" s="128">
        <f t="shared" ref="P5:P21" si="0">SUM(C5:O5)</f>
        <v>75000</v>
      </c>
      <c r="Q5" s="171">
        <v>0</v>
      </c>
    </row>
    <row r="6" spans="1:17" x14ac:dyDescent="0.2">
      <c r="A6" s="2">
        <v>3</v>
      </c>
      <c r="B6" t="s">
        <v>63</v>
      </c>
      <c r="C6" s="126">
        <v>15000</v>
      </c>
      <c r="D6" s="126">
        <v>15000</v>
      </c>
      <c r="E6" s="126">
        <v>15000</v>
      </c>
      <c r="F6" s="126">
        <v>15000</v>
      </c>
      <c r="G6" s="126">
        <v>15000</v>
      </c>
      <c r="H6" s="126">
        <v>15000</v>
      </c>
      <c r="I6" s="126"/>
      <c r="J6" s="126"/>
      <c r="K6" s="126"/>
      <c r="L6" s="126"/>
      <c r="M6" s="126"/>
      <c r="N6" s="126"/>
      <c r="O6" s="126"/>
      <c r="P6" s="128">
        <f t="shared" si="0"/>
        <v>90000</v>
      </c>
      <c r="Q6" s="171">
        <v>0</v>
      </c>
    </row>
    <row r="7" spans="1:17" x14ac:dyDescent="0.2">
      <c r="A7" s="2">
        <v>4</v>
      </c>
      <c r="B7" t="s">
        <v>35</v>
      </c>
      <c r="C7" s="126">
        <v>15000</v>
      </c>
      <c r="D7" s="126">
        <v>15000</v>
      </c>
      <c r="E7" s="126">
        <v>15000</v>
      </c>
      <c r="F7" s="126">
        <v>15000</v>
      </c>
      <c r="G7" s="126">
        <v>15000</v>
      </c>
      <c r="H7" s="126">
        <v>15000</v>
      </c>
      <c r="I7" s="126"/>
      <c r="J7" s="126"/>
      <c r="K7" s="126"/>
      <c r="L7" s="126"/>
      <c r="M7" s="126"/>
      <c r="N7" s="126"/>
      <c r="O7" s="126"/>
      <c r="P7" s="128">
        <f t="shared" si="0"/>
        <v>90000</v>
      </c>
      <c r="Q7" s="171">
        <v>0</v>
      </c>
    </row>
    <row r="8" spans="1:17" x14ac:dyDescent="0.2">
      <c r="A8" s="2">
        <v>5</v>
      </c>
      <c r="B8" t="s">
        <v>65</v>
      </c>
      <c r="C8" s="126">
        <v>15000</v>
      </c>
      <c r="D8" s="126">
        <v>15000</v>
      </c>
      <c r="E8" s="126">
        <v>15000</v>
      </c>
      <c r="F8" s="126">
        <v>15000</v>
      </c>
      <c r="G8" s="126">
        <v>15000</v>
      </c>
      <c r="H8" s="126">
        <v>15000</v>
      </c>
      <c r="I8" s="126"/>
      <c r="J8" s="126"/>
      <c r="K8" s="126"/>
      <c r="L8" s="126"/>
      <c r="M8" s="126"/>
      <c r="N8" s="126"/>
      <c r="O8" s="126"/>
      <c r="P8" s="128">
        <f t="shared" si="0"/>
        <v>90000</v>
      </c>
      <c r="Q8" s="171">
        <v>0</v>
      </c>
    </row>
    <row r="9" spans="1:17" x14ac:dyDescent="0.2">
      <c r="A9" s="2">
        <v>6</v>
      </c>
      <c r="B9" t="s">
        <v>36</v>
      </c>
      <c r="C9" s="126">
        <v>15000</v>
      </c>
      <c r="D9" s="126">
        <v>15000</v>
      </c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8">
        <f t="shared" si="0"/>
        <v>30000</v>
      </c>
      <c r="Q9" s="171">
        <v>0</v>
      </c>
    </row>
    <row r="10" spans="1:17" x14ac:dyDescent="0.2">
      <c r="A10" s="2">
        <v>7</v>
      </c>
      <c r="B10" t="s">
        <v>37</v>
      </c>
      <c r="C10" s="126">
        <v>15000</v>
      </c>
      <c r="D10" s="126">
        <v>15000</v>
      </c>
      <c r="E10" s="126">
        <v>15000</v>
      </c>
      <c r="F10" s="126">
        <v>15000</v>
      </c>
      <c r="G10" s="126">
        <v>15000</v>
      </c>
      <c r="H10" s="126">
        <v>15000</v>
      </c>
      <c r="I10" s="126"/>
      <c r="J10" s="126"/>
      <c r="K10" s="126"/>
      <c r="L10" s="126"/>
      <c r="M10" s="126"/>
      <c r="N10" s="126"/>
      <c r="O10" s="126"/>
      <c r="P10" s="128">
        <f t="shared" si="0"/>
        <v>90000</v>
      </c>
      <c r="Q10" s="172">
        <v>500000</v>
      </c>
    </row>
    <row r="11" spans="1:17" x14ac:dyDescent="0.2">
      <c r="A11" s="2">
        <v>8</v>
      </c>
      <c r="B11" t="s">
        <v>61</v>
      </c>
      <c r="C11" s="126">
        <v>15000</v>
      </c>
      <c r="D11" s="126">
        <v>15000</v>
      </c>
      <c r="E11" s="126">
        <v>15000</v>
      </c>
      <c r="F11" s="126">
        <v>15000</v>
      </c>
      <c r="G11" s="126">
        <v>15000</v>
      </c>
      <c r="H11" s="126"/>
      <c r="I11" s="126"/>
      <c r="J11" s="126"/>
      <c r="K11" s="126"/>
      <c r="L11" s="126"/>
      <c r="M11" s="126"/>
      <c r="N11" s="126"/>
      <c r="O11" s="126"/>
      <c r="P11" s="128">
        <f t="shared" si="0"/>
        <v>75000</v>
      </c>
      <c r="Q11" s="171">
        <v>0</v>
      </c>
    </row>
    <row r="12" spans="1:17" x14ac:dyDescent="0.2">
      <c r="A12" s="2">
        <v>9</v>
      </c>
      <c r="B12" t="s">
        <v>38</v>
      </c>
      <c r="C12" s="126">
        <v>15000</v>
      </c>
      <c r="D12" s="126">
        <v>15000</v>
      </c>
      <c r="E12" s="126">
        <v>15000</v>
      </c>
      <c r="F12" s="126">
        <v>15000</v>
      </c>
      <c r="G12" s="126"/>
      <c r="H12" s="126"/>
      <c r="I12" s="126"/>
      <c r="J12" s="126"/>
      <c r="K12" s="126"/>
      <c r="L12" s="126"/>
      <c r="M12" s="126"/>
      <c r="N12" s="126"/>
      <c r="O12" s="126"/>
      <c r="P12" s="128">
        <f t="shared" si="0"/>
        <v>60000</v>
      </c>
      <c r="Q12" s="171">
        <v>0</v>
      </c>
    </row>
    <row r="13" spans="1:17" x14ac:dyDescent="0.2">
      <c r="A13" s="2">
        <v>10</v>
      </c>
      <c r="B13" t="s">
        <v>52</v>
      </c>
      <c r="C13" s="126">
        <v>15000</v>
      </c>
      <c r="D13" s="126">
        <v>15000</v>
      </c>
      <c r="E13" s="126">
        <v>15000</v>
      </c>
      <c r="F13" s="126">
        <v>15000</v>
      </c>
      <c r="G13" s="126">
        <v>15000</v>
      </c>
      <c r="H13" s="126"/>
      <c r="I13" s="126"/>
      <c r="J13" s="126"/>
      <c r="K13" s="126"/>
      <c r="L13" s="126"/>
      <c r="M13" s="126"/>
      <c r="N13" s="126"/>
      <c r="O13" s="126"/>
      <c r="P13" s="128">
        <f t="shared" si="0"/>
        <v>75000</v>
      </c>
      <c r="Q13" s="171">
        <v>0</v>
      </c>
    </row>
    <row r="14" spans="1:17" x14ac:dyDescent="0.2">
      <c r="A14" s="2">
        <v>11</v>
      </c>
      <c r="B14" t="s">
        <v>39</v>
      </c>
      <c r="C14" s="126">
        <v>15000</v>
      </c>
      <c r="D14" s="126">
        <v>15000</v>
      </c>
      <c r="E14" s="126">
        <v>15000</v>
      </c>
      <c r="F14" s="126">
        <v>15000</v>
      </c>
      <c r="G14" s="126">
        <v>15000</v>
      </c>
      <c r="H14" s="126"/>
      <c r="I14" s="126"/>
      <c r="J14" s="126"/>
      <c r="K14" s="126"/>
      <c r="L14" s="126"/>
      <c r="M14" s="126"/>
      <c r="N14" s="126"/>
      <c r="O14" s="126"/>
      <c r="P14" s="128">
        <f t="shared" si="0"/>
        <v>75000</v>
      </c>
      <c r="Q14" s="171">
        <v>0</v>
      </c>
    </row>
    <row r="15" spans="1:17" x14ac:dyDescent="0.2">
      <c r="A15" s="2">
        <v>12</v>
      </c>
      <c r="B15" t="s">
        <v>60</v>
      </c>
      <c r="C15" s="126">
        <v>15000</v>
      </c>
      <c r="D15" s="126">
        <v>15000</v>
      </c>
      <c r="E15" s="126">
        <v>15000</v>
      </c>
      <c r="F15" s="126">
        <v>15000</v>
      </c>
      <c r="G15" s="126">
        <v>15000</v>
      </c>
      <c r="H15" s="126"/>
      <c r="I15" s="126"/>
      <c r="J15" s="126"/>
      <c r="K15" s="126"/>
      <c r="L15" s="126"/>
      <c r="M15" s="126"/>
      <c r="N15" s="126"/>
      <c r="O15" s="126"/>
      <c r="P15" s="128">
        <f t="shared" si="0"/>
        <v>75000</v>
      </c>
      <c r="Q15" s="171">
        <v>0</v>
      </c>
    </row>
    <row r="16" spans="1:17" x14ac:dyDescent="0.2">
      <c r="A16" s="2">
        <v>13</v>
      </c>
      <c r="B16" t="s">
        <v>40</v>
      </c>
      <c r="C16" s="126">
        <v>15000</v>
      </c>
      <c r="D16" s="126">
        <v>15000</v>
      </c>
      <c r="E16" s="126">
        <v>15000</v>
      </c>
      <c r="F16" s="126">
        <v>15000</v>
      </c>
      <c r="G16" s="126"/>
      <c r="H16" s="126"/>
      <c r="I16" s="126"/>
      <c r="J16" s="126"/>
      <c r="K16" s="126"/>
      <c r="L16" s="126"/>
      <c r="M16" s="126"/>
      <c r="N16" s="126"/>
      <c r="O16" s="126"/>
      <c r="P16" s="128">
        <f t="shared" si="0"/>
        <v>60000</v>
      </c>
      <c r="Q16" s="171">
        <v>0</v>
      </c>
    </row>
    <row r="17" spans="1:21" x14ac:dyDescent="0.2">
      <c r="A17" s="2">
        <v>14</v>
      </c>
      <c r="B17" t="s">
        <v>66</v>
      </c>
      <c r="C17" s="126">
        <v>15000</v>
      </c>
      <c r="D17" s="126">
        <v>15000</v>
      </c>
      <c r="E17" s="126">
        <v>15000</v>
      </c>
      <c r="F17" s="126">
        <v>15000</v>
      </c>
      <c r="G17" s="126">
        <v>15000</v>
      </c>
      <c r="H17" s="126">
        <v>15000</v>
      </c>
      <c r="I17" s="126"/>
      <c r="J17" s="126"/>
      <c r="K17" s="126"/>
      <c r="L17" s="126"/>
      <c r="M17" s="126"/>
      <c r="N17" s="126"/>
      <c r="O17" s="126"/>
      <c r="P17" s="128">
        <f t="shared" si="0"/>
        <v>90000</v>
      </c>
      <c r="Q17" s="171">
        <v>0</v>
      </c>
    </row>
    <row r="18" spans="1:21" x14ac:dyDescent="0.2">
      <c r="A18" s="2">
        <v>15</v>
      </c>
      <c r="B18" t="s">
        <v>41</v>
      </c>
      <c r="C18" s="126">
        <v>15000</v>
      </c>
      <c r="D18" s="126">
        <v>15000</v>
      </c>
      <c r="E18" s="126">
        <v>15000</v>
      </c>
      <c r="F18" s="126">
        <v>15000</v>
      </c>
      <c r="G18" s="126">
        <v>15000</v>
      </c>
      <c r="H18" s="126"/>
      <c r="I18" s="126"/>
      <c r="J18" s="126"/>
      <c r="K18" s="126"/>
      <c r="L18" s="126"/>
      <c r="M18" s="126"/>
      <c r="N18" s="126"/>
      <c r="O18" s="126"/>
      <c r="P18" s="128">
        <f t="shared" si="0"/>
        <v>75000</v>
      </c>
      <c r="Q18" s="171">
        <v>0</v>
      </c>
    </row>
    <row r="19" spans="1:21" x14ac:dyDescent="0.2">
      <c r="A19" s="2">
        <v>16</v>
      </c>
      <c r="B19" t="s">
        <v>42</v>
      </c>
      <c r="C19" s="126">
        <v>15000</v>
      </c>
      <c r="D19" s="126">
        <v>15000</v>
      </c>
      <c r="E19" s="126">
        <v>15000</v>
      </c>
      <c r="F19" s="126">
        <v>15000</v>
      </c>
      <c r="G19" s="126">
        <v>15000</v>
      </c>
      <c r="H19" s="126">
        <v>15000</v>
      </c>
      <c r="I19" s="126"/>
      <c r="J19" s="126"/>
      <c r="K19" s="126"/>
      <c r="L19" s="126"/>
      <c r="M19" s="126"/>
      <c r="N19" s="126"/>
      <c r="O19" s="126"/>
      <c r="P19" s="128">
        <f t="shared" si="0"/>
        <v>90000</v>
      </c>
      <c r="Q19" s="171">
        <v>0</v>
      </c>
    </row>
    <row r="20" spans="1:21" x14ac:dyDescent="0.2">
      <c r="A20" s="2">
        <v>17</v>
      </c>
      <c r="B20" t="s">
        <v>43</v>
      </c>
      <c r="C20" s="126">
        <v>15000</v>
      </c>
      <c r="D20" s="126">
        <v>15000</v>
      </c>
      <c r="E20" s="126">
        <v>15000</v>
      </c>
      <c r="F20" s="126">
        <v>15000</v>
      </c>
      <c r="G20" s="126">
        <v>15000</v>
      </c>
      <c r="H20" s="126">
        <v>15000</v>
      </c>
      <c r="I20" s="126"/>
      <c r="J20" s="126"/>
      <c r="K20" s="126"/>
      <c r="L20" s="126"/>
      <c r="M20" s="126"/>
      <c r="N20" s="126"/>
      <c r="O20" s="126"/>
      <c r="P20" s="128">
        <f t="shared" si="0"/>
        <v>90000</v>
      </c>
      <c r="Q20" s="171">
        <v>0</v>
      </c>
    </row>
    <row r="21" spans="1:21" x14ac:dyDescent="0.2">
      <c r="A21" s="2">
        <v>18</v>
      </c>
      <c r="B21" t="s">
        <v>64</v>
      </c>
      <c r="C21" s="126">
        <v>15000</v>
      </c>
      <c r="D21" s="126">
        <v>15000</v>
      </c>
      <c r="E21" s="126">
        <v>15000</v>
      </c>
      <c r="F21" s="126">
        <v>15000</v>
      </c>
      <c r="G21" s="126">
        <v>15000</v>
      </c>
      <c r="H21" s="126">
        <v>15000</v>
      </c>
      <c r="I21" s="126"/>
      <c r="J21" s="126"/>
      <c r="K21" s="126"/>
      <c r="L21" s="126"/>
      <c r="M21" s="126"/>
      <c r="N21" s="126"/>
      <c r="O21" s="126"/>
      <c r="P21" s="128">
        <f t="shared" si="0"/>
        <v>90000</v>
      </c>
      <c r="Q21" s="171">
        <v>0</v>
      </c>
    </row>
    <row r="22" spans="1:21" x14ac:dyDescent="0.2">
      <c r="A22" s="2"/>
      <c r="B22" s="2" t="s">
        <v>9</v>
      </c>
      <c r="C22" s="131">
        <f t="shared" ref="C22:H22" si="1">SUM(C4:C21)</f>
        <v>270000</v>
      </c>
      <c r="D22" s="131">
        <f t="shared" si="1"/>
        <v>270000</v>
      </c>
      <c r="E22" s="131">
        <f t="shared" si="1"/>
        <v>255000</v>
      </c>
      <c r="F22" s="131">
        <f t="shared" si="1"/>
        <v>255000</v>
      </c>
      <c r="G22" s="131">
        <f t="shared" si="1"/>
        <v>225000</v>
      </c>
      <c r="H22" s="131">
        <f t="shared" si="1"/>
        <v>135000</v>
      </c>
      <c r="I22" s="131">
        <f>SUM(I4:I21)</f>
        <v>0</v>
      </c>
      <c r="J22" s="132">
        <f>SUM(J4:J21)</f>
        <v>0</v>
      </c>
      <c r="K22" s="132">
        <f>SUM(K4:K21)</f>
        <v>0</v>
      </c>
      <c r="L22" s="132">
        <f>SUM(L4:L21)</f>
        <v>0</v>
      </c>
      <c r="M22" s="132">
        <f>SUM(M4:M21)</f>
        <v>0</v>
      </c>
      <c r="N22" s="132">
        <f t="shared" ref="N22" si="2">SUM(N4:N16)</f>
        <v>0</v>
      </c>
      <c r="O22" s="132"/>
      <c r="P22" s="130">
        <f>SUM(P4:P21)</f>
        <v>1410000</v>
      </c>
      <c r="Q22" s="171">
        <f>SUM(Q4:Q21)</f>
        <v>500000</v>
      </c>
      <c r="R22" s="173">
        <f>P22-Q22</f>
        <v>910000</v>
      </c>
    </row>
    <row r="23" spans="1:21" x14ac:dyDescent="0.2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1" x14ac:dyDescent="0.2">
      <c r="N24" s="1"/>
      <c r="O24" s="1"/>
      <c r="P24" s="1"/>
      <c r="Q24" s="1"/>
      <c r="R24" s="1"/>
      <c r="S24" s="1"/>
      <c r="T24" s="1"/>
      <c r="U24" s="1"/>
    </row>
    <row r="25" spans="1:21" x14ac:dyDescent="0.2">
      <c r="U25" s="12"/>
    </row>
    <row r="26" spans="1:21" x14ac:dyDescent="0.2">
      <c r="B26" t="s">
        <v>14</v>
      </c>
      <c r="C26" t="s">
        <v>30</v>
      </c>
      <c r="D26" t="s">
        <v>31</v>
      </c>
      <c r="U26" s="17"/>
    </row>
    <row r="27" spans="1:21" x14ac:dyDescent="0.2">
      <c r="B27" s="19" t="s">
        <v>28</v>
      </c>
      <c r="C27" s="133">
        <v>10000</v>
      </c>
    </row>
    <row r="28" spans="1:21" x14ac:dyDescent="0.2">
      <c r="B28" s="10" t="s">
        <v>29</v>
      </c>
      <c r="C28" s="133">
        <v>5000</v>
      </c>
    </row>
    <row r="30" spans="1:21" x14ac:dyDescent="0.2">
      <c r="B30" s="55" t="s">
        <v>32</v>
      </c>
      <c r="C30" s="18">
        <v>45658</v>
      </c>
      <c r="D30" s="18">
        <v>45689</v>
      </c>
      <c r="E30" s="18">
        <v>45717</v>
      </c>
      <c r="F30" s="18">
        <v>45748</v>
      </c>
      <c r="G30" s="18">
        <v>45778</v>
      </c>
      <c r="H30" s="18">
        <v>45809</v>
      </c>
      <c r="I30" s="18">
        <v>45839</v>
      </c>
      <c r="J30" s="18">
        <v>45870</v>
      </c>
      <c r="K30" s="18">
        <v>45901</v>
      </c>
      <c r="L30" s="18">
        <v>45931</v>
      </c>
      <c r="M30" s="18">
        <v>45962</v>
      </c>
      <c r="N30" s="18">
        <v>45992</v>
      </c>
      <c r="O30" s="18"/>
      <c r="P30" s="2" t="s">
        <v>5</v>
      </c>
    </row>
    <row r="31" spans="1:21" x14ac:dyDescent="0.2">
      <c r="B31" t="s">
        <v>27</v>
      </c>
      <c r="C31" s="95">
        <v>500000</v>
      </c>
      <c r="D31" s="128"/>
      <c r="E31" s="128"/>
      <c r="G31" s="128"/>
      <c r="H31" s="128"/>
      <c r="I31" s="128"/>
      <c r="J31" s="128"/>
      <c r="K31" s="128"/>
      <c r="L31" s="128"/>
      <c r="M31" s="128"/>
      <c r="N31" s="128"/>
    </row>
    <row r="32" spans="1:21" x14ac:dyDescent="0.2">
      <c r="B32" t="s">
        <v>33</v>
      </c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</row>
  </sheetData>
  <customSheetViews>
    <customSheetView guid="{B2A5A4D4-6CB8-42F5-BC08-2FAB393FA19C}">
      <pane xSplit="2" topLeftCell="C1" activePane="topRight" state="frozen"/>
      <selection pane="topRight" activeCell="F18" sqref="F18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  <ignoredErrors>
    <ignoredError sqref="P4:P21 D22:N22" emptyCellReferenc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theme="8" tint="0.39997558519241921"/>
  </sheetPr>
  <dimension ref="A2:P25"/>
  <sheetViews>
    <sheetView workbookViewId="0">
      <pane ySplit="2" topLeftCell="A3" activePane="bottomLeft" state="frozen"/>
      <selection pane="bottomLeft" activeCell="P21" sqref="P21"/>
    </sheetView>
  </sheetViews>
  <sheetFormatPr baseColWidth="10" defaultColWidth="12.5" defaultRowHeight="15" x14ac:dyDescent="0.2"/>
  <cols>
    <col min="1" max="1" width="24.6640625" customWidth="1"/>
    <col min="16" max="16" width="11.5" customWidth="1"/>
  </cols>
  <sheetData>
    <row r="2" spans="1:16" x14ac:dyDescent="0.2">
      <c r="A2" s="2" t="s">
        <v>1</v>
      </c>
      <c r="B2" s="26">
        <v>45627</v>
      </c>
      <c r="C2" s="26">
        <v>45658</v>
      </c>
      <c r="D2" s="26">
        <v>45689</v>
      </c>
      <c r="E2" s="26">
        <v>45717</v>
      </c>
      <c r="F2" s="26">
        <v>45748</v>
      </c>
      <c r="G2" s="26">
        <v>45778</v>
      </c>
      <c r="H2" s="26">
        <v>45809</v>
      </c>
      <c r="I2" s="26">
        <v>45839</v>
      </c>
      <c r="J2" s="26">
        <v>45870</v>
      </c>
      <c r="K2" s="26">
        <v>45901</v>
      </c>
      <c r="L2" s="26">
        <v>45931</v>
      </c>
      <c r="M2" s="26">
        <v>45962</v>
      </c>
      <c r="N2" s="26">
        <v>45992</v>
      </c>
      <c r="O2" s="27" t="s">
        <v>26</v>
      </c>
      <c r="P2" s="2" t="s">
        <v>133</v>
      </c>
    </row>
    <row r="3" spans="1:16" x14ac:dyDescent="0.2">
      <c r="A3" t="s">
        <v>62</v>
      </c>
      <c r="B3" s="126">
        <v>2000</v>
      </c>
      <c r="C3" s="126">
        <v>0</v>
      </c>
      <c r="D3" s="126">
        <v>0</v>
      </c>
      <c r="E3" s="126">
        <v>0</v>
      </c>
      <c r="F3" s="126">
        <v>0</v>
      </c>
      <c r="G3" s="126">
        <v>0</v>
      </c>
      <c r="H3" s="126">
        <v>0</v>
      </c>
      <c r="I3" s="126">
        <v>0</v>
      </c>
      <c r="J3" s="126">
        <v>0</v>
      </c>
      <c r="K3" s="126">
        <v>0</v>
      </c>
      <c r="L3" s="126">
        <v>0</v>
      </c>
      <c r="M3" s="126">
        <v>0</v>
      </c>
      <c r="N3" s="127">
        <v>0</v>
      </c>
      <c r="O3" s="128">
        <f t="shared" ref="O3:P6" si="0">SUM(B3:N3)</f>
        <v>2000</v>
      </c>
      <c r="P3" s="128">
        <f t="shared" si="0"/>
        <v>2000</v>
      </c>
    </row>
    <row r="4" spans="1:16" x14ac:dyDescent="0.2">
      <c r="A4" t="s">
        <v>34</v>
      </c>
      <c r="B4" s="126">
        <v>0</v>
      </c>
      <c r="C4" s="126">
        <v>0</v>
      </c>
      <c r="D4" s="129">
        <v>43000</v>
      </c>
      <c r="E4" s="129">
        <v>46000</v>
      </c>
      <c r="F4" s="126">
        <v>16000</v>
      </c>
      <c r="G4" s="126">
        <v>0</v>
      </c>
      <c r="H4" s="126">
        <v>0</v>
      </c>
      <c r="I4" s="126">
        <v>0</v>
      </c>
      <c r="J4" s="126">
        <v>0</v>
      </c>
      <c r="K4" s="126">
        <v>0</v>
      </c>
      <c r="L4" s="126">
        <v>0</v>
      </c>
      <c r="M4" s="126">
        <v>0</v>
      </c>
      <c r="N4" s="127">
        <v>0</v>
      </c>
      <c r="O4" s="128">
        <f t="shared" si="0"/>
        <v>105000</v>
      </c>
      <c r="P4" s="128">
        <v>9000</v>
      </c>
    </row>
    <row r="5" spans="1:16" x14ac:dyDescent="0.2">
      <c r="A5" t="s">
        <v>63</v>
      </c>
      <c r="B5" s="126">
        <v>0</v>
      </c>
      <c r="C5" s="126">
        <v>0</v>
      </c>
      <c r="D5" s="126">
        <v>4000</v>
      </c>
      <c r="E5" s="126">
        <v>14000</v>
      </c>
      <c r="F5" s="129">
        <v>1000</v>
      </c>
      <c r="G5" s="126">
        <v>0</v>
      </c>
      <c r="H5" s="126">
        <v>0</v>
      </c>
      <c r="I5" s="126">
        <v>0</v>
      </c>
      <c r="J5" s="126">
        <v>0</v>
      </c>
      <c r="K5" s="126">
        <v>0</v>
      </c>
      <c r="L5" s="126">
        <v>0</v>
      </c>
      <c r="M5" s="126">
        <v>0</v>
      </c>
      <c r="N5" s="127">
        <v>0</v>
      </c>
      <c r="O5" s="128">
        <f t="shared" si="0"/>
        <v>19000</v>
      </c>
      <c r="P5" s="128">
        <f t="shared" si="0"/>
        <v>38000</v>
      </c>
    </row>
    <row r="6" spans="1:16" x14ac:dyDescent="0.2">
      <c r="A6" t="s">
        <v>35</v>
      </c>
      <c r="B6" s="126">
        <v>4000</v>
      </c>
      <c r="C6" s="126">
        <v>0</v>
      </c>
      <c r="D6" s="126">
        <v>3000</v>
      </c>
      <c r="E6" s="126">
        <v>4000</v>
      </c>
      <c r="F6" s="126">
        <v>3000</v>
      </c>
      <c r="G6" s="126">
        <v>0</v>
      </c>
      <c r="H6" s="126">
        <v>0</v>
      </c>
      <c r="I6" s="126">
        <v>0</v>
      </c>
      <c r="J6" s="126">
        <v>0</v>
      </c>
      <c r="K6" s="126">
        <v>0</v>
      </c>
      <c r="L6" s="126">
        <v>0</v>
      </c>
      <c r="M6" s="126">
        <v>0</v>
      </c>
      <c r="N6" s="127">
        <v>0</v>
      </c>
      <c r="O6" s="128">
        <f t="shared" si="0"/>
        <v>14000</v>
      </c>
      <c r="P6" s="128">
        <f t="shared" si="0"/>
        <v>24000</v>
      </c>
    </row>
    <row r="7" spans="1:16" x14ac:dyDescent="0.2">
      <c r="A7" t="s">
        <v>65</v>
      </c>
      <c r="B7" s="126">
        <v>0</v>
      </c>
      <c r="C7" s="126">
        <v>0</v>
      </c>
      <c r="D7" s="126">
        <v>0</v>
      </c>
      <c r="E7" s="129">
        <v>1000</v>
      </c>
      <c r="F7" s="129">
        <v>3000</v>
      </c>
      <c r="G7" s="126">
        <v>0</v>
      </c>
      <c r="H7" s="126">
        <v>0</v>
      </c>
      <c r="I7" s="126">
        <v>0</v>
      </c>
      <c r="J7" s="126">
        <v>0</v>
      </c>
      <c r="K7" s="126">
        <v>0</v>
      </c>
      <c r="L7" s="126">
        <v>0</v>
      </c>
      <c r="M7" s="126">
        <v>0</v>
      </c>
      <c r="N7" s="127">
        <v>0</v>
      </c>
      <c r="O7" s="128">
        <f t="shared" ref="O7:O20" si="1">SUM(B7:N7)</f>
        <v>4000</v>
      </c>
      <c r="P7" s="174">
        <v>0</v>
      </c>
    </row>
    <row r="8" spans="1:16" x14ac:dyDescent="0.2">
      <c r="A8" t="s">
        <v>36</v>
      </c>
      <c r="B8" s="129">
        <v>55000</v>
      </c>
      <c r="C8" s="129">
        <v>52000</v>
      </c>
      <c r="D8" s="129">
        <v>65000</v>
      </c>
      <c r="E8" s="129">
        <v>65000</v>
      </c>
      <c r="F8" s="129">
        <v>65000</v>
      </c>
      <c r="G8" s="126">
        <v>0</v>
      </c>
      <c r="H8" s="126">
        <v>0</v>
      </c>
      <c r="I8" s="126">
        <v>0</v>
      </c>
      <c r="J8" s="126">
        <v>0</v>
      </c>
      <c r="K8" s="126">
        <v>0</v>
      </c>
      <c r="L8" s="126">
        <v>0</v>
      </c>
      <c r="M8" s="126">
        <v>0</v>
      </c>
      <c r="N8" s="127">
        <v>0</v>
      </c>
      <c r="O8" s="128">
        <f t="shared" si="1"/>
        <v>302000</v>
      </c>
      <c r="P8" s="174">
        <v>0</v>
      </c>
    </row>
    <row r="9" spans="1:16" x14ac:dyDescent="0.2">
      <c r="A9" t="s">
        <v>37</v>
      </c>
      <c r="B9" s="126">
        <v>0</v>
      </c>
      <c r="C9" s="126">
        <v>0</v>
      </c>
      <c r="D9" s="126">
        <v>7000</v>
      </c>
      <c r="E9" s="126">
        <v>4000</v>
      </c>
      <c r="F9" s="126">
        <v>3000</v>
      </c>
      <c r="G9" s="126">
        <v>0</v>
      </c>
      <c r="H9" s="126">
        <v>0</v>
      </c>
      <c r="I9" s="126">
        <v>0</v>
      </c>
      <c r="J9" s="126">
        <v>0</v>
      </c>
      <c r="K9" s="126">
        <v>0</v>
      </c>
      <c r="L9" s="126">
        <v>0</v>
      </c>
      <c r="M9" s="126">
        <v>0</v>
      </c>
      <c r="N9" s="127">
        <v>0</v>
      </c>
      <c r="O9" s="128">
        <f t="shared" si="1"/>
        <v>14000</v>
      </c>
      <c r="P9" s="174">
        <v>7000</v>
      </c>
    </row>
    <row r="10" spans="1:16" x14ac:dyDescent="0.2">
      <c r="A10" t="s">
        <v>61</v>
      </c>
      <c r="B10" s="126">
        <v>3000</v>
      </c>
      <c r="C10" s="126">
        <v>3000</v>
      </c>
      <c r="D10" s="129">
        <v>48000</v>
      </c>
      <c r="E10" s="129">
        <v>43000</v>
      </c>
      <c r="F10" s="129">
        <v>40000</v>
      </c>
      <c r="G10" s="126">
        <v>0</v>
      </c>
      <c r="H10" s="126">
        <v>0</v>
      </c>
      <c r="I10" s="126">
        <v>0</v>
      </c>
      <c r="J10" s="126">
        <v>0</v>
      </c>
      <c r="K10" s="126">
        <v>0</v>
      </c>
      <c r="L10" s="126">
        <v>0</v>
      </c>
      <c r="M10" s="126">
        <v>0</v>
      </c>
      <c r="N10" s="127">
        <v>0</v>
      </c>
      <c r="O10" s="128">
        <f t="shared" si="1"/>
        <v>137000</v>
      </c>
      <c r="P10" s="174">
        <v>11000</v>
      </c>
    </row>
    <row r="11" spans="1:16" x14ac:dyDescent="0.2">
      <c r="A11" t="s">
        <v>38</v>
      </c>
      <c r="B11" s="126">
        <v>5000</v>
      </c>
      <c r="C11" s="126">
        <v>5000</v>
      </c>
      <c r="D11" s="129">
        <v>40000</v>
      </c>
      <c r="E11" s="129">
        <v>69000</v>
      </c>
      <c r="F11" s="129">
        <v>40000</v>
      </c>
      <c r="G11" s="126">
        <v>0</v>
      </c>
      <c r="H11" s="126">
        <v>0</v>
      </c>
      <c r="I11" s="126">
        <v>0</v>
      </c>
      <c r="J11" s="126">
        <v>0</v>
      </c>
      <c r="K11" s="126">
        <v>0</v>
      </c>
      <c r="L11" s="126">
        <v>0</v>
      </c>
      <c r="M11" s="126">
        <v>0</v>
      </c>
      <c r="N11" s="127">
        <v>0</v>
      </c>
      <c r="O11" s="128">
        <f t="shared" si="1"/>
        <v>159000</v>
      </c>
      <c r="P11" s="175">
        <v>39000</v>
      </c>
    </row>
    <row r="12" spans="1:16" x14ac:dyDescent="0.2">
      <c r="A12" t="s">
        <v>52</v>
      </c>
      <c r="B12" s="126">
        <v>3000</v>
      </c>
      <c r="C12" s="129">
        <v>40000</v>
      </c>
      <c r="D12" s="129">
        <v>48000</v>
      </c>
      <c r="E12" s="129">
        <v>43000</v>
      </c>
      <c r="F12" s="129">
        <v>40000</v>
      </c>
      <c r="G12" s="126">
        <v>0</v>
      </c>
      <c r="H12" s="126">
        <v>0</v>
      </c>
      <c r="I12" s="126">
        <v>0</v>
      </c>
      <c r="J12" s="126">
        <v>0</v>
      </c>
      <c r="K12" s="126">
        <v>0</v>
      </c>
      <c r="L12" s="126">
        <v>0</v>
      </c>
      <c r="M12" s="126">
        <v>0</v>
      </c>
      <c r="N12" s="127">
        <v>0</v>
      </c>
      <c r="O12" s="128">
        <f t="shared" si="1"/>
        <v>174000</v>
      </c>
      <c r="P12" s="174">
        <v>11000</v>
      </c>
    </row>
    <row r="13" spans="1:16" x14ac:dyDescent="0.2">
      <c r="A13" t="s">
        <v>39</v>
      </c>
      <c r="B13" s="126">
        <v>0</v>
      </c>
      <c r="C13" s="126">
        <v>0</v>
      </c>
      <c r="D13" s="126">
        <v>0</v>
      </c>
      <c r="E13" s="126">
        <v>0</v>
      </c>
      <c r="F13" s="126">
        <v>0</v>
      </c>
      <c r="G13" s="126">
        <v>0</v>
      </c>
      <c r="H13" s="126">
        <v>0</v>
      </c>
      <c r="I13" s="126">
        <v>0</v>
      </c>
      <c r="J13" s="126">
        <v>0</v>
      </c>
      <c r="K13" s="126">
        <v>0</v>
      </c>
      <c r="L13" s="126">
        <v>0</v>
      </c>
      <c r="M13" s="126">
        <v>0</v>
      </c>
      <c r="N13" s="127">
        <v>0</v>
      </c>
      <c r="O13" s="128">
        <f t="shared" si="1"/>
        <v>0</v>
      </c>
      <c r="P13" s="175">
        <v>0</v>
      </c>
    </row>
    <row r="14" spans="1:16" x14ac:dyDescent="0.2">
      <c r="A14" t="s">
        <v>60</v>
      </c>
      <c r="B14" s="126">
        <v>0</v>
      </c>
      <c r="C14" s="126">
        <v>0</v>
      </c>
      <c r="D14" s="126">
        <v>0</v>
      </c>
      <c r="E14" s="126">
        <v>3000</v>
      </c>
      <c r="F14" s="129">
        <v>1000</v>
      </c>
      <c r="G14" s="126">
        <v>0</v>
      </c>
      <c r="H14" s="126">
        <v>0</v>
      </c>
      <c r="I14" s="126">
        <v>0</v>
      </c>
      <c r="J14" s="126">
        <v>0</v>
      </c>
      <c r="K14" s="126">
        <v>0</v>
      </c>
      <c r="L14" s="126">
        <v>0</v>
      </c>
      <c r="M14" s="126">
        <v>0</v>
      </c>
      <c r="N14" s="127">
        <v>0</v>
      </c>
      <c r="O14" s="128">
        <f t="shared" si="1"/>
        <v>4000</v>
      </c>
      <c r="P14" s="175">
        <v>0</v>
      </c>
    </row>
    <row r="15" spans="1:16" x14ac:dyDescent="0.2">
      <c r="A15" t="s">
        <v>40</v>
      </c>
      <c r="B15" s="126">
        <v>15000</v>
      </c>
      <c r="C15" s="129">
        <v>40000</v>
      </c>
      <c r="D15" s="129">
        <v>44000</v>
      </c>
      <c r="E15" s="126">
        <v>14000</v>
      </c>
      <c r="F15" s="129">
        <v>40000</v>
      </c>
      <c r="G15" s="126">
        <v>0</v>
      </c>
      <c r="H15" s="126">
        <v>0</v>
      </c>
      <c r="I15" s="126">
        <v>0</v>
      </c>
      <c r="J15" s="126">
        <v>0</v>
      </c>
      <c r="K15" s="126">
        <v>0</v>
      </c>
      <c r="L15" s="126">
        <v>0</v>
      </c>
      <c r="M15" s="126">
        <v>0</v>
      </c>
      <c r="N15" s="127">
        <v>0</v>
      </c>
      <c r="O15" s="128">
        <f t="shared" si="1"/>
        <v>153000</v>
      </c>
      <c r="P15" s="174">
        <v>4000</v>
      </c>
    </row>
    <row r="16" spans="1:16" x14ac:dyDescent="0.2">
      <c r="A16" t="s">
        <v>66</v>
      </c>
      <c r="B16" s="129">
        <v>40000</v>
      </c>
      <c r="C16" s="129">
        <v>40000</v>
      </c>
      <c r="D16" s="126">
        <v>5000</v>
      </c>
      <c r="E16" s="129">
        <v>50000</v>
      </c>
      <c r="F16" s="126">
        <v>39000</v>
      </c>
      <c r="G16" s="126">
        <v>0</v>
      </c>
      <c r="H16" s="126">
        <v>0</v>
      </c>
      <c r="I16" s="126">
        <v>0</v>
      </c>
      <c r="J16" s="126">
        <v>0</v>
      </c>
      <c r="K16" s="126">
        <v>0</v>
      </c>
      <c r="L16" s="126">
        <v>0</v>
      </c>
      <c r="M16" s="126">
        <v>0</v>
      </c>
      <c r="N16" s="127">
        <v>0</v>
      </c>
      <c r="O16" s="128">
        <f t="shared" si="1"/>
        <v>174000</v>
      </c>
      <c r="P16" s="174">
        <v>15000</v>
      </c>
    </row>
    <row r="17" spans="1:16" x14ac:dyDescent="0.2">
      <c r="A17" t="s">
        <v>41</v>
      </c>
      <c r="B17" s="126">
        <v>3000</v>
      </c>
      <c r="C17" s="129">
        <v>52000</v>
      </c>
      <c r="D17" s="129">
        <v>45000</v>
      </c>
      <c r="E17" s="126">
        <v>15000</v>
      </c>
      <c r="F17" s="129">
        <v>43000</v>
      </c>
      <c r="G17" s="126">
        <v>0</v>
      </c>
      <c r="H17" s="126">
        <v>0</v>
      </c>
      <c r="I17" s="126">
        <v>0</v>
      </c>
      <c r="J17" s="126">
        <v>0</v>
      </c>
      <c r="K17" s="126">
        <v>0</v>
      </c>
      <c r="L17" s="126">
        <v>0</v>
      </c>
      <c r="M17" s="126">
        <v>0</v>
      </c>
      <c r="N17" s="127">
        <v>0</v>
      </c>
      <c r="O17" s="162">
        <f t="shared" si="1"/>
        <v>158000</v>
      </c>
      <c r="P17" s="175">
        <v>13000</v>
      </c>
    </row>
    <row r="18" spans="1:16" s="14" customFormat="1" x14ac:dyDescent="0.2">
      <c r="A18" s="14" t="s">
        <v>42</v>
      </c>
      <c r="B18" s="129">
        <v>42000</v>
      </c>
      <c r="C18" s="129">
        <v>40000</v>
      </c>
      <c r="D18" s="129">
        <v>43000</v>
      </c>
      <c r="E18" s="129">
        <v>40000</v>
      </c>
      <c r="F18" s="129">
        <v>40000</v>
      </c>
      <c r="G18" s="126">
        <v>0</v>
      </c>
      <c r="H18" s="126">
        <v>0</v>
      </c>
      <c r="I18" s="126">
        <v>0</v>
      </c>
      <c r="J18" s="126">
        <v>0</v>
      </c>
      <c r="K18" s="126">
        <v>0</v>
      </c>
      <c r="L18" s="126">
        <v>0</v>
      </c>
      <c r="M18" s="126">
        <v>0</v>
      </c>
      <c r="N18" s="127">
        <v>0</v>
      </c>
      <c r="O18" s="163">
        <f t="shared" si="1"/>
        <v>205000</v>
      </c>
      <c r="P18" s="14">
        <v>5000</v>
      </c>
    </row>
    <row r="19" spans="1:16" x14ac:dyDescent="0.2">
      <c r="A19" t="s">
        <v>43</v>
      </c>
      <c r="B19" s="126">
        <v>40000</v>
      </c>
      <c r="C19" s="126">
        <v>40000</v>
      </c>
      <c r="D19" s="126">
        <v>3000</v>
      </c>
      <c r="E19" s="126">
        <v>0</v>
      </c>
      <c r="F19" s="126">
        <v>60000</v>
      </c>
      <c r="G19" s="126">
        <v>0</v>
      </c>
      <c r="H19" s="126">
        <v>0</v>
      </c>
      <c r="I19" s="126">
        <v>0</v>
      </c>
      <c r="J19" s="126">
        <v>0</v>
      </c>
      <c r="K19" s="126">
        <v>0</v>
      </c>
      <c r="L19" s="126">
        <v>0</v>
      </c>
      <c r="M19" s="126">
        <v>0</v>
      </c>
      <c r="N19" s="127">
        <v>0</v>
      </c>
      <c r="O19" s="162">
        <f t="shared" si="1"/>
        <v>143000</v>
      </c>
      <c r="P19" s="175">
        <v>3000</v>
      </c>
    </row>
    <row r="20" spans="1:16" x14ac:dyDescent="0.2">
      <c r="A20" t="s">
        <v>64</v>
      </c>
      <c r="B20" s="126">
        <v>3000</v>
      </c>
      <c r="C20" s="129">
        <v>40000</v>
      </c>
      <c r="D20" s="129">
        <v>55000</v>
      </c>
      <c r="E20" s="126">
        <v>0</v>
      </c>
      <c r="F20" s="129">
        <v>41000</v>
      </c>
      <c r="G20" s="126">
        <v>0</v>
      </c>
      <c r="H20" s="126">
        <v>0</v>
      </c>
      <c r="I20" s="126">
        <v>0</v>
      </c>
      <c r="J20" s="126">
        <v>0</v>
      </c>
      <c r="K20" s="126">
        <v>0</v>
      </c>
      <c r="L20" s="126">
        <v>0</v>
      </c>
      <c r="M20" s="126">
        <v>0</v>
      </c>
      <c r="N20" s="127">
        <v>0</v>
      </c>
      <c r="O20" s="128">
        <f t="shared" si="1"/>
        <v>139000</v>
      </c>
      <c r="P20" s="174">
        <v>19000</v>
      </c>
    </row>
    <row r="21" spans="1:16" x14ac:dyDescent="0.2">
      <c r="A21" s="2" t="s">
        <v>9</v>
      </c>
      <c r="B21" s="130">
        <f t="shared" ref="B21:N21" si="2">SUM(B3:B20)</f>
        <v>215000</v>
      </c>
      <c r="C21" s="130">
        <f>SUM(C3:C20)</f>
        <v>352000</v>
      </c>
      <c r="D21" s="130">
        <f>SUM(D3:D20)</f>
        <v>453000</v>
      </c>
      <c r="E21" s="130">
        <f t="shared" si="2"/>
        <v>411000</v>
      </c>
      <c r="F21" s="130">
        <f t="shared" si="2"/>
        <v>475000</v>
      </c>
      <c r="G21" s="130"/>
      <c r="H21" s="130">
        <f t="shared" si="2"/>
        <v>0</v>
      </c>
      <c r="I21" s="130">
        <f t="shared" si="2"/>
        <v>0</v>
      </c>
      <c r="J21" s="130">
        <f t="shared" si="2"/>
        <v>0</v>
      </c>
      <c r="K21" s="130">
        <f t="shared" si="2"/>
        <v>0</v>
      </c>
      <c r="L21" s="130">
        <f t="shared" si="2"/>
        <v>0</v>
      </c>
      <c r="M21" s="130"/>
      <c r="N21" s="130">
        <f t="shared" si="2"/>
        <v>0</v>
      </c>
      <c r="O21" s="130">
        <f>SUM(O3:O20)</f>
        <v>1906000</v>
      </c>
    </row>
    <row r="23" spans="1:16" x14ac:dyDescent="0.2">
      <c r="A23" s="37" t="s">
        <v>47</v>
      </c>
      <c r="B23" s="37"/>
      <c r="C23" s="37"/>
      <c r="D23" s="37"/>
      <c r="F23" s="11"/>
    </row>
    <row r="24" spans="1:16" x14ac:dyDescent="0.2">
      <c r="A24" s="10" t="s">
        <v>49</v>
      </c>
      <c r="B24" s="10"/>
      <c r="C24" s="10"/>
    </row>
    <row r="25" spans="1:16" x14ac:dyDescent="0.2">
      <c r="A25" s="39" t="s">
        <v>48</v>
      </c>
      <c r="B25" s="39"/>
      <c r="C25" s="39"/>
      <c r="D25" s="39"/>
      <c r="E25" s="39"/>
      <c r="F25" s="39"/>
    </row>
  </sheetData>
  <customSheetViews>
    <customSheetView guid="{B2A5A4D4-6CB8-42F5-BC08-2FAB393FA19C}">
      <pane ySplit="1" topLeftCell="A3" activePane="bottomLeft" state="frozen"/>
      <selection pane="bottomLeft" activeCell="B23" sqref="B23"/>
      <pageMargins left="0.7" right="0.7" top="0.75" bottom="0.75" header="0.3" footer="0.3"/>
    </customSheetView>
  </customSheetViews>
  <pageMargins left="0.7" right="0.7" top="0.75" bottom="0.75" header="0.3" footer="0.3"/>
  <ignoredErrors>
    <ignoredError sqref="B21:N2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theme="9" tint="0.79998168889431442"/>
  </sheetPr>
  <dimension ref="A1:CC92"/>
  <sheetViews>
    <sheetView topLeftCell="A2" workbookViewId="0">
      <pane xSplit="1" topLeftCell="AB1" activePane="topRight" state="frozen"/>
      <selection activeCell="A2" sqref="A2"/>
      <selection pane="topRight" activeCell="AG30" sqref="AG30"/>
    </sheetView>
  </sheetViews>
  <sheetFormatPr baseColWidth="10" defaultColWidth="9.1640625" defaultRowHeight="15" x14ac:dyDescent="0.2"/>
  <cols>
    <col min="1" max="1" width="13.33203125" style="14" customWidth="1"/>
    <col min="2" max="2" width="12.6640625" style="33" customWidth="1"/>
    <col min="3" max="4" width="10.6640625" style="33" customWidth="1"/>
    <col min="5" max="6" width="12.6640625" style="33" customWidth="1"/>
    <col min="7" max="7" width="10.6640625" style="33" customWidth="1"/>
    <col min="8" max="8" width="16.5" style="33" customWidth="1"/>
    <col min="9" max="10" width="12.6640625" style="33" customWidth="1"/>
    <col min="11" max="12" width="10.6640625" style="33" customWidth="1"/>
    <col min="13" max="14" width="12.6640625" style="33" customWidth="1"/>
    <col min="15" max="16" width="10.6640625" style="33" customWidth="1"/>
    <col min="17" max="18" width="12.6640625" style="33" customWidth="1"/>
    <col min="19" max="20" width="10.6640625" style="33" customWidth="1"/>
    <col min="21" max="22" width="12.6640625" style="33" customWidth="1"/>
    <col min="23" max="24" width="10.6640625" style="33" customWidth="1"/>
    <col min="25" max="26" width="12.6640625" style="33" customWidth="1"/>
    <col min="27" max="28" width="10.6640625" style="33" customWidth="1"/>
    <col min="29" max="30" width="12.6640625" style="33" customWidth="1"/>
    <col min="31" max="32" width="10.6640625" style="33" customWidth="1"/>
    <col min="33" max="33" width="12.6640625" style="33" customWidth="1"/>
    <col min="34" max="34" width="9.1640625" style="33" customWidth="1"/>
    <col min="35" max="35" width="9.33203125" style="33" customWidth="1"/>
    <col min="36" max="36" width="10.6640625" style="33" customWidth="1"/>
    <col min="37" max="37" width="12.6640625" style="33" customWidth="1"/>
    <col min="38" max="38" width="10.83203125" style="14" bestFit="1" customWidth="1"/>
    <col min="39" max="40" width="10" style="14" bestFit="1" customWidth="1"/>
    <col min="41" max="42" width="10.83203125" style="14" bestFit="1" customWidth="1"/>
    <col min="43" max="44" width="10" style="14" bestFit="1" customWidth="1"/>
    <col min="45" max="46" width="10.83203125" style="14" bestFit="1" customWidth="1"/>
    <col min="47" max="48" width="10" style="14" bestFit="1" customWidth="1"/>
    <col min="49" max="50" width="10.83203125" style="14" bestFit="1" customWidth="1"/>
    <col min="51" max="52" width="10" style="14" bestFit="1" customWidth="1"/>
    <col min="53" max="54" width="10.83203125" style="14" bestFit="1" customWidth="1"/>
    <col min="55" max="56" width="10" style="14" bestFit="1" customWidth="1"/>
    <col min="57" max="58" width="10.83203125" style="14" bestFit="1" customWidth="1"/>
    <col min="59" max="60" width="10" style="14" bestFit="1" customWidth="1"/>
    <col min="61" max="62" width="10.83203125" style="14" bestFit="1" customWidth="1"/>
    <col min="63" max="64" width="10" style="14" bestFit="1" customWidth="1"/>
    <col min="65" max="66" width="10.83203125" style="14" bestFit="1" customWidth="1"/>
    <col min="67" max="68" width="10" style="14" bestFit="1" customWidth="1"/>
    <col min="69" max="70" width="10.83203125" style="14" bestFit="1" customWidth="1"/>
    <col min="71" max="72" width="10" style="14" bestFit="1" customWidth="1"/>
    <col min="73" max="73" width="10.83203125" style="14" bestFit="1" customWidth="1"/>
    <col min="74" max="16384" width="9.1640625" style="14"/>
  </cols>
  <sheetData>
    <row r="1" spans="1:73" customFormat="1" ht="16" hidden="1" thickBot="1" x14ac:dyDescent="0.25">
      <c r="A1" s="20"/>
      <c r="B1" s="44"/>
      <c r="C1" s="46"/>
      <c r="D1" s="41"/>
      <c r="E1" s="7"/>
      <c r="F1" s="44"/>
      <c r="G1" s="46"/>
      <c r="H1" s="41"/>
      <c r="I1" s="7"/>
      <c r="J1" s="44"/>
      <c r="K1" s="46"/>
      <c r="L1" s="41"/>
      <c r="M1" s="7"/>
      <c r="N1" s="44"/>
      <c r="O1" s="46"/>
      <c r="P1" s="41"/>
      <c r="Q1" s="7"/>
      <c r="R1" s="44"/>
      <c r="S1" s="46"/>
      <c r="T1" s="41"/>
      <c r="U1" s="7"/>
      <c r="V1" s="44"/>
      <c r="W1" s="46"/>
      <c r="X1" s="41"/>
      <c r="Y1" s="7"/>
      <c r="Z1" s="44"/>
      <c r="AA1" s="46"/>
      <c r="AB1" s="41"/>
      <c r="AC1" s="7"/>
      <c r="AD1" s="44"/>
      <c r="AE1" s="46"/>
      <c r="AF1" s="41"/>
      <c r="AG1" s="7"/>
      <c r="AH1" s="44"/>
      <c r="AI1" s="46"/>
      <c r="AJ1" s="41"/>
      <c r="AK1" s="7"/>
    </row>
    <row r="2" spans="1:73" customFormat="1" ht="16" thickBot="1" x14ac:dyDescent="0.25">
      <c r="A2" t="s">
        <v>127</v>
      </c>
      <c r="B2" s="45"/>
      <c r="C2" s="70" t="s">
        <v>50</v>
      </c>
      <c r="D2" s="65">
        <v>45181</v>
      </c>
      <c r="E2" s="28"/>
      <c r="F2" s="45"/>
      <c r="G2" s="70" t="s">
        <v>67</v>
      </c>
      <c r="H2" s="65">
        <v>45208</v>
      </c>
      <c r="I2" s="28"/>
      <c r="J2" s="45"/>
      <c r="K2" s="70" t="s">
        <v>73</v>
      </c>
      <c r="L2" s="65">
        <v>45245</v>
      </c>
      <c r="M2" s="28"/>
      <c r="N2" s="45"/>
      <c r="O2" s="70" t="s">
        <v>68</v>
      </c>
      <c r="P2" s="65">
        <v>45267</v>
      </c>
      <c r="Q2" s="28"/>
      <c r="R2" s="45"/>
      <c r="S2" s="70" t="s">
        <v>69</v>
      </c>
      <c r="T2" s="65">
        <v>45278</v>
      </c>
      <c r="U2" s="28"/>
      <c r="V2" s="45"/>
      <c r="W2" s="72" t="s">
        <v>75</v>
      </c>
      <c r="X2" s="42"/>
      <c r="Y2" s="28"/>
      <c r="Z2" s="45"/>
      <c r="AA2" s="72" t="s">
        <v>76</v>
      </c>
      <c r="AB2" s="42"/>
      <c r="AC2" s="28"/>
      <c r="AD2" s="45"/>
      <c r="AE2" s="72" t="s">
        <v>79</v>
      </c>
      <c r="AF2" s="42"/>
      <c r="AG2" s="28"/>
      <c r="AH2" s="45"/>
      <c r="AI2" s="72" t="s">
        <v>78</v>
      </c>
      <c r="AJ2" s="42"/>
      <c r="AK2" s="28"/>
      <c r="AL2" s="45"/>
      <c r="AM2" s="72" t="s">
        <v>77</v>
      </c>
      <c r="AN2" s="42"/>
      <c r="AO2" s="28"/>
      <c r="AP2" s="45"/>
      <c r="AQ2" s="72" t="s">
        <v>93</v>
      </c>
      <c r="AR2" s="42"/>
      <c r="AS2" s="28"/>
      <c r="AT2" s="45"/>
      <c r="AU2" s="72" t="s">
        <v>94</v>
      </c>
      <c r="AV2" s="42"/>
      <c r="AW2" s="28"/>
      <c r="AX2" s="45"/>
      <c r="AY2" s="72" t="s">
        <v>108</v>
      </c>
      <c r="AZ2" s="42"/>
      <c r="BA2" s="28"/>
      <c r="BB2" s="45"/>
      <c r="BC2" s="72" t="s">
        <v>116</v>
      </c>
      <c r="BD2" s="42"/>
      <c r="BE2" s="28"/>
      <c r="BF2" s="45"/>
      <c r="BG2" s="72" t="s">
        <v>117</v>
      </c>
      <c r="BH2" s="42"/>
      <c r="BI2" s="28"/>
      <c r="BJ2" s="45"/>
      <c r="BK2" s="72" t="s">
        <v>119</v>
      </c>
      <c r="BL2" s="42"/>
      <c r="BM2" s="28"/>
      <c r="BN2" s="45"/>
      <c r="BO2" s="72" t="s">
        <v>122</v>
      </c>
      <c r="BP2" s="42"/>
      <c r="BQ2" s="28"/>
      <c r="BR2" s="45"/>
      <c r="BS2" s="72" t="s">
        <v>125</v>
      </c>
      <c r="BT2" s="42"/>
      <c r="BU2" s="28"/>
    </row>
    <row r="3" spans="1:73" customFormat="1" x14ac:dyDescent="0.2">
      <c r="A3" s="5" t="s">
        <v>20</v>
      </c>
      <c r="B3" s="49" t="s">
        <v>8</v>
      </c>
      <c r="C3" s="47" t="s">
        <v>3</v>
      </c>
      <c r="D3" s="43" t="s">
        <v>21</v>
      </c>
      <c r="E3" s="22" t="s">
        <v>11</v>
      </c>
      <c r="F3" s="49" t="s">
        <v>8</v>
      </c>
      <c r="G3" s="47" t="s">
        <v>3</v>
      </c>
      <c r="H3" s="43" t="s">
        <v>21</v>
      </c>
      <c r="I3" s="22" t="s">
        <v>11</v>
      </c>
      <c r="J3" s="49" t="s">
        <v>8</v>
      </c>
      <c r="K3" s="47" t="s">
        <v>3</v>
      </c>
      <c r="L3" s="43" t="s">
        <v>21</v>
      </c>
      <c r="M3" s="22" t="s">
        <v>11</v>
      </c>
      <c r="N3" s="49" t="s">
        <v>8</v>
      </c>
      <c r="O3" s="47" t="s">
        <v>3</v>
      </c>
      <c r="P3" s="43" t="s">
        <v>21</v>
      </c>
      <c r="Q3" s="22" t="s">
        <v>11</v>
      </c>
      <c r="R3" s="49" t="s">
        <v>8</v>
      </c>
      <c r="S3" s="47" t="s">
        <v>3</v>
      </c>
      <c r="T3" s="43" t="s">
        <v>21</v>
      </c>
      <c r="U3" s="22" t="s">
        <v>11</v>
      </c>
      <c r="V3" s="49" t="s">
        <v>8</v>
      </c>
      <c r="W3" s="47" t="s">
        <v>3</v>
      </c>
      <c r="X3" s="43" t="s">
        <v>21</v>
      </c>
      <c r="Y3" s="22" t="s">
        <v>11</v>
      </c>
      <c r="Z3" s="49" t="s">
        <v>8</v>
      </c>
      <c r="AA3" s="47" t="s">
        <v>3</v>
      </c>
      <c r="AB3" s="43" t="s">
        <v>21</v>
      </c>
      <c r="AC3" s="22" t="s">
        <v>11</v>
      </c>
      <c r="AD3" s="49" t="s">
        <v>8</v>
      </c>
      <c r="AE3" s="47" t="s">
        <v>3</v>
      </c>
      <c r="AF3" s="43" t="s">
        <v>21</v>
      </c>
      <c r="AG3" s="22" t="s">
        <v>11</v>
      </c>
      <c r="AH3" s="49" t="s">
        <v>8</v>
      </c>
      <c r="AI3" s="47" t="s">
        <v>3</v>
      </c>
      <c r="AJ3" s="43" t="s">
        <v>21</v>
      </c>
      <c r="AK3" s="22" t="s">
        <v>11</v>
      </c>
      <c r="AL3" s="49" t="s">
        <v>8</v>
      </c>
      <c r="AM3" s="47" t="s">
        <v>3</v>
      </c>
      <c r="AN3" s="43" t="s">
        <v>21</v>
      </c>
      <c r="AO3" s="22" t="s">
        <v>11</v>
      </c>
      <c r="AP3" s="49" t="s">
        <v>8</v>
      </c>
      <c r="AQ3" s="47" t="s">
        <v>3</v>
      </c>
      <c r="AR3" s="43" t="s">
        <v>21</v>
      </c>
      <c r="AS3" s="22" t="s">
        <v>11</v>
      </c>
      <c r="AT3" s="49" t="s">
        <v>8</v>
      </c>
      <c r="AU3" s="47" t="s">
        <v>3</v>
      </c>
      <c r="AV3" s="43" t="s">
        <v>21</v>
      </c>
      <c r="AW3" s="22" t="s">
        <v>11</v>
      </c>
      <c r="AX3" s="49" t="s">
        <v>8</v>
      </c>
      <c r="AY3" s="47" t="s">
        <v>3</v>
      </c>
      <c r="AZ3" s="43" t="s">
        <v>21</v>
      </c>
      <c r="BA3" s="22" t="s">
        <v>11</v>
      </c>
      <c r="BB3" s="49" t="s">
        <v>8</v>
      </c>
      <c r="BC3" s="47" t="s">
        <v>3</v>
      </c>
      <c r="BD3" s="43" t="s">
        <v>21</v>
      </c>
      <c r="BE3" s="22" t="s">
        <v>11</v>
      </c>
      <c r="BF3" s="49" t="s">
        <v>8</v>
      </c>
      <c r="BG3" s="47" t="s">
        <v>3</v>
      </c>
      <c r="BH3" s="43" t="s">
        <v>21</v>
      </c>
      <c r="BI3" s="22" t="s">
        <v>11</v>
      </c>
      <c r="BJ3" s="49" t="s">
        <v>8</v>
      </c>
      <c r="BK3" s="47" t="s">
        <v>3</v>
      </c>
      <c r="BL3" s="43" t="s">
        <v>21</v>
      </c>
      <c r="BM3" s="22" t="s">
        <v>11</v>
      </c>
      <c r="BN3" s="49" t="s">
        <v>8</v>
      </c>
      <c r="BO3" s="47" t="s">
        <v>3</v>
      </c>
      <c r="BP3" s="43" t="s">
        <v>21</v>
      </c>
      <c r="BQ3" s="22" t="s">
        <v>11</v>
      </c>
      <c r="BR3" s="49" t="s">
        <v>8</v>
      </c>
      <c r="BS3" s="47" t="s">
        <v>3</v>
      </c>
      <c r="BT3" s="43" t="s">
        <v>21</v>
      </c>
      <c r="BU3" s="22" t="s">
        <v>11</v>
      </c>
    </row>
    <row r="4" spans="1:73" customFormat="1" x14ac:dyDescent="0.2">
      <c r="A4" s="89" t="s">
        <v>72</v>
      </c>
      <c r="B4" s="98">
        <v>10000000</v>
      </c>
      <c r="C4" s="99">
        <v>1000000</v>
      </c>
      <c r="D4" s="100"/>
      <c r="E4" s="101">
        <v>9090000</v>
      </c>
      <c r="F4" s="98">
        <v>10000000</v>
      </c>
      <c r="G4" s="99">
        <v>1000000</v>
      </c>
      <c r="H4" s="100"/>
      <c r="I4" s="101">
        <v>9774000</v>
      </c>
      <c r="J4" s="98">
        <v>10000000</v>
      </c>
      <c r="K4" s="99">
        <v>1000000</v>
      </c>
      <c r="L4" s="100"/>
      <c r="M4" s="101">
        <v>11000000</v>
      </c>
      <c r="N4" s="98">
        <v>10000000</v>
      </c>
      <c r="O4" s="99">
        <v>1000000</v>
      </c>
      <c r="P4" s="100"/>
      <c r="Q4" s="101">
        <v>11000000</v>
      </c>
      <c r="R4" s="98">
        <v>6000000</v>
      </c>
      <c r="S4" s="99">
        <v>600000</v>
      </c>
      <c r="T4" s="100"/>
      <c r="U4" s="101">
        <v>6600000</v>
      </c>
      <c r="V4" s="98"/>
      <c r="W4" s="99"/>
      <c r="X4" s="100"/>
      <c r="Y4" s="101"/>
      <c r="Z4" s="98"/>
      <c r="AA4" s="99"/>
      <c r="AB4" s="100"/>
      <c r="AC4" s="101"/>
      <c r="AD4" s="98"/>
      <c r="AE4" s="99"/>
      <c r="AF4" s="100"/>
      <c r="AG4" s="101"/>
      <c r="AH4" s="98"/>
      <c r="AI4" s="99"/>
      <c r="AJ4" s="100"/>
      <c r="AK4" s="101"/>
      <c r="AL4" s="98"/>
      <c r="AM4" s="99"/>
      <c r="AN4" s="100"/>
      <c r="AO4" s="101"/>
      <c r="AP4" s="98"/>
      <c r="AQ4" s="99"/>
      <c r="AR4" s="100"/>
      <c r="AS4" s="101"/>
      <c r="AT4" s="98"/>
      <c r="AU4" s="99"/>
      <c r="AV4" s="100"/>
      <c r="AW4" s="101"/>
      <c r="AX4" s="98"/>
      <c r="AY4" s="99"/>
      <c r="AZ4" s="100"/>
      <c r="BA4" s="101"/>
      <c r="BB4" s="98"/>
      <c r="BC4" s="99"/>
      <c r="BD4" s="100"/>
      <c r="BE4" s="101"/>
      <c r="BF4" s="98"/>
      <c r="BG4" s="99"/>
      <c r="BH4" s="100"/>
      <c r="BI4" s="101"/>
      <c r="BJ4" s="98"/>
      <c r="BK4" s="99"/>
      <c r="BL4" s="100"/>
      <c r="BM4" s="101"/>
      <c r="BN4" s="98"/>
      <c r="BO4" s="99"/>
      <c r="BP4" s="100"/>
      <c r="BQ4" s="101"/>
      <c r="BR4" s="98"/>
      <c r="BS4" s="99"/>
      <c r="BT4" s="100"/>
      <c r="BU4" s="101"/>
    </row>
    <row r="5" spans="1:73" customFormat="1" x14ac:dyDescent="0.2">
      <c r="A5" s="21">
        <v>45292</v>
      </c>
      <c r="B5" s="98"/>
      <c r="C5" s="99"/>
      <c r="D5" s="100">
        <v>650000</v>
      </c>
      <c r="E5" s="101">
        <f>E4-D5</f>
        <v>8440000</v>
      </c>
      <c r="F5" s="98"/>
      <c r="G5" s="99"/>
      <c r="H5" s="100">
        <v>611000</v>
      </c>
      <c r="I5" s="101">
        <f>I4-H5</f>
        <v>9163000</v>
      </c>
      <c r="J5" s="98"/>
      <c r="K5" s="99"/>
      <c r="L5" s="100">
        <v>1000000</v>
      </c>
      <c r="M5" s="101">
        <f>M4-L5</f>
        <v>10000000</v>
      </c>
      <c r="N5" s="98"/>
      <c r="O5" s="99"/>
      <c r="P5" s="100">
        <v>612000</v>
      </c>
      <c r="Q5" s="101">
        <f>Q4-P5</f>
        <v>10388000</v>
      </c>
      <c r="R5" s="98"/>
      <c r="S5" s="99"/>
      <c r="T5" s="100">
        <v>550000</v>
      </c>
      <c r="U5" s="101">
        <f>U4-T5</f>
        <v>6050000</v>
      </c>
      <c r="V5" s="98">
        <v>10000000</v>
      </c>
      <c r="W5" s="99">
        <v>1000000</v>
      </c>
      <c r="X5" s="100"/>
      <c r="Y5" s="101">
        <f>V5+W5</f>
        <v>11000000</v>
      </c>
      <c r="Z5" s="98"/>
      <c r="AA5" s="99"/>
      <c r="AB5" s="100"/>
      <c r="AC5" s="101"/>
      <c r="AD5" s="98"/>
      <c r="AE5" s="99"/>
      <c r="AF5" s="100"/>
      <c r="AG5" s="101"/>
      <c r="AH5" s="98"/>
      <c r="AI5" s="99"/>
      <c r="AJ5" s="100"/>
      <c r="AK5" s="101"/>
      <c r="AL5" s="98"/>
      <c r="AM5" s="99"/>
      <c r="AN5" s="100"/>
      <c r="AO5" s="101"/>
      <c r="AP5" s="98"/>
      <c r="AQ5" s="99"/>
      <c r="AR5" s="100"/>
      <c r="AS5" s="101"/>
      <c r="AT5" s="98"/>
      <c r="AU5" s="99"/>
      <c r="AV5" s="100"/>
      <c r="AW5" s="101"/>
      <c r="AX5" s="98"/>
      <c r="AY5" s="99"/>
      <c r="AZ5" s="100"/>
      <c r="BA5" s="101"/>
      <c r="BB5" s="98"/>
      <c r="BC5" s="99"/>
      <c r="BD5" s="100"/>
      <c r="BE5" s="101"/>
      <c r="BF5" s="98"/>
      <c r="BG5" s="99"/>
      <c r="BH5" s="100"/>
      <c r="BI5" s="101"/>
      <c r="BJ5" s="98"/>
      <c r="BK5" s="99"/>
      <c r="BL5" s="100"/>
      <c r="BM5" s="101"/>
      <c r="BN5" s="98"/>
      <c r="BO5" s="99"/>
      <c r="BP5" s="100"/>
      <c r="BQ5" s="101"/>
      <c r="BR5" s="98"/>
      <c r="BS5" s="99"/>
      <c r="BT5" s="100"/>
      <c r="BU5" s="101"/>
    </row>
    <row r="6" spans="1:73" x14ac:dyDescent="0.2">
      <c r="A6" s="21">
        <v>45323</v>
      </c>
      <c r="B6" s="98"/>
      <c r="C6" s="99"/>
      <c r="D6" s="100">
        <v>650000</v>
      </c>
      <c r="E6" s="101">
        <f>E5-D6</f>
        <v>7790000</v>
      </c>
      <c r="F6" s="98"/>
      <c r="G6" s="99"/>
      <c r="H6" s="100">
        <v>611000</v>
      </c>
      <c r="I6" s="101">
        <f>I5-H6</f>
        <v>8552000</v>
      </c>
      <c r="J6" s="98"/>
      <c r="K6" s="99"/>
      <c r="L6" s="100">
        <v>700000</v>
      </c>
      <c r="M6" s="101">
        <f t="shared" ref="M6:M15" si="0">M5-L6</f>
        <v>9300000</v>
      </c>
      <c r="N6" s="98"/>
      <c r="O6" s="99"/>
      <c r="P6" s="100">
        <v>612000</v>
      </c>
      <c r="Q6" s="101">
        <f t="shared" ref="Q6:Q15" si="1">Q5-P6</f>
        <v>9776000</v>
      </c>
      <c r="R6" s="98"/>
      <c r="S6" s="99"/>
      <c r="T6" s="100">
        <v>550000</v>
      </c>
      <c r="U6" s="101">
        <f t="shared" ref="U6:U15" si="2">U5-T6</f>
        <v>5500000</v>
      </c>
      <c r="V6" s="98"/>
      <c r="W6" s="99"/>
      <c r="X6" s="100">
        <v>1000000</v>
      </c>
      <c r="Y6" s="102">
        <f>Y5-X6</f>
        <v>10000000</v>
      </c>
      <c r="Z6" s="98">
        <v>10000000</v>
      </c>
      <c r="AA6" s="99">
        <v>1000000</v>
      </c>
      <c r="AB6" s="100"/>
      <c r="AC6" s="102">
        <f>Z6+AA6</f>
        <v>11000000</v>
      </c>
      <c r="AD6" s="98">
        <v>10000000</v>
      </c>
      <c r="AE6" s="99">
        <v>1000000</v>
      </c>
      <c r="AF6" s="100"/>
      <c r="AG6" s="101">
        <f>AD6+AE6</f>
        <v>11000000</v>
      </c>
      <c r="AH6" s="98"/>
      <c r="AI6" s="99"/>
      <c r="AJ6" s="100"/>
      <c r="AK6" s="101"/>
      <c r="AL6" s="98"/>
      <c r="AM6" s="99"/>
      <c r="AN6" s="100"/>
      <c r="AO6" s="101"/>
      <c r="AP6" s="98"/>
      <c r="AQ6" s="99"/>
      <c r="AR6" s="100"/>
      <c r="AS6" s="101"/>
      <c r="AT6" s="98"/>
      <c r="AU6" s="99"/>
      <c r="AV6" s="100"/>
      <c r="AW6" s="101"/>
      <c r="AX6" s="98"/>
      <c r="AY6" s="99"/>
      <c r="AZ6" s="100"/>
      <c r="BA6" s="101"/>
      <c r="BB6" s="98"/>
      <c r="BC6" s="99"/>
      <c r="BD6" s="100"/>
      <c r="BE6" s="101"/>
      <c r="BF6" s="98"/>
      <c r="BG6" s="99"/>
      <c r="BH6" s="100"/>
      <c r="BI6" s="101"/>
      <c r="BJ6" s="98"/>
      <c r="BK6" s="99"/>
      <c r="BL6" s="100"/>
      <c r="BM6" s="101"/>
      <c r="BN6" s="98"/>
      <c r="BO6" s="99"/>
      <c r="BP6" s="100"/>
      <c r="BQ6" s="101"/>
      <c r="BR6" s="98"/>
      <c r="BS6" s="99"/>
      <c r="BT6" s="100"/>
      <c r="BU6" s="101"/>
    </row>
    <row r="7" spans="1:73" customFormat="1" x14ac:dyDescent="0.2">
      <c r="A7" s="21">
        <v>45352</v>
      </c>
      <c r="B7" s="98"/>
      <c r="C7" s="99"/>
      <c r="D7" s="100">
        <v>500000</v>
      </c>
      <c r="E7" s="101">
        <f t="shared" ref="E7:E15" si="3">E6-D7</f>
        <v>7290000</v>
      </c>
      <c r="F7" s="98"/>
      <c r="G7" s="99"/>
      <c r="H7" s="100">
        <v>611000</v>
      </c>
      <c r="I7" s="101">
        <f t="shared" ref="I7:I16" si="4">I6-H7</f>
        <v>7941000</v>
      </c>
      <c r="J7" s="98"/>
      <c r="K7" s="99"/>
      <c r="L7" s="100">
        <v>700000</v>
      </c>
      <c r="M7" s="101">
        <f t="shared" si="0"/>
        <v>8600000</v>
      </c>
      <c r="N7" s="98"/>
      <c r="O7" s="99"/>
      <c r="P7" s="100">
        <v>612000</v>
      </c>
      <c r="Q7" s="101">
        <f t="shared" si="1"/>
        <v>9164000</v>
      </c>
      <c r="R7" s="98"/>
      <c r="S7" s="99"/>
      <c r="T7" s="100">
        <v>550000</v>
      </c>
      <c r="U7" s="101">
        <f t="shared" si="2"/>
        <v>4950000</v>
      </c>
      <c r="V7" s="98"/>
      <c r="W7" s="99"/>
      <c r="X7" s="100">
        <v>1000000</v>
      </c>
      <c r="Y7" s="102">
        <f t="shared" ref="Y7:Y15" si="5">Y6-X7</f>
        <v>9000000</v>
      </c>
      <c r="Z7" s="98"/>
      <c r="AA7" s="99"/>
      <c r="AB7" s="100">
        <v>1000000</v>
      </c>
      <c r="AC7" s="101">
        <f>AC6-AB7</f>
        <v>10000000</v>
      </c>
      <c r="AD7" s="98"/>
      <c r="AE7" s="99"/>
      <c r="AF7" s="100">
        <v>612000</v>
      </c>
      <c r="AG7" s="101">
        <f>AG6-AF7</f>
        <v>10388000</v>
      </c>
      <c r="AH7" s="98">
        <v>10000000</v>
      </c>
      <c r="AI7" s="99">
        <v>1000000</v>
      </c>
      <c r="AJ7" s="100"/>
      <c r="AK7" s="101">
        <f>AH7+AI7</f>
        <v>11000000</v>
      </c>
      <c r="AL7" s="98"/>
      <c r="AM7" s="99"/>
      <c r="AN7" s="100"/>
      <c r="AO7" s="101">
        <f>AL7+AM7</f>
        <v>0</v>
      </c>
      <c r="AP7" s="98"/>
      <c r="AQ7" s="99"/>
      <c r="AR7" s="100"/>
      <c r="AS7" s="101">
        <f>AP7+AQ7</f>
        <v>0</v>
      </c>
      <c r="AT7" s="98"/>
      <c r="AU7" s="99"/>
      <c r="AV7" s="100"/>
      <c r="AW7" s="101">
        <f>AT7+AU7</f>
        <v>0</v>
      </c>
      <c r="AX7" s="98"/>
      <c r="AY7" s="99"/>
      <c r="AZ7" s="100"/>
      <c r="BA7" s="101"/>
      <c r="BB7" s="98"/>
      <c r="BC7" s="99"/>
      <c r="BD7" s="100"/>
      <c r="BE7" s="101"/>
      <c r="BF7" s="98"/>
      <c r="BG7" s="99"/>
      <c r="BH7" s="100"/>
      <c r="BI7" s="101"/>
      <c r="BJ7" s="98"/>
      <c r="BK7" s="99"/>
      <c r="BL7" s="100"/>
      <c r="BM7" s="101"/>
      <c r="BN7" s="98"/>
      <c r="BO7" s="99"/>
      <c r="BP7" s="100"/>
      <c r="BQ7" s="101"/>
      <c r="BR7" s="98"/>
      <c r="BS7" s="99"/>
      <c r="BT7" s="100"/>
      <c r="BU7" s="101"/>
    </row>
    <row r="8" spans="1:73" customFormat="1" x14ac:dyDescent="0.2">
      <c r="A8" s="21">
        <v>45383</v>
      </c>
      <c r="B8" s="98"/>
      <c r="C8" s="99"/>
      <c r="D8" s="100">
        <v>0</v>
      </c>
      <c r="E8" s="101">
        <f t="shared" si="3"/>
        <v>7290000</v>
      </c>
      <c r="F8" s="98"/>
      <c r="G8" s="99"/>
      <c r="H8" s="100">
        <v>611000</v>
      </c>
      <c r="I8" s="101">
        <f t="shared" si="4"/>
        <v>7330000</v>
      </c>
      <c r="J8" s="98"/>
      <c r="K8" s="99"/>
      <c r="L8" s="100">
        <v>612000</v>
      </c>
      <c r="M8" s="101">
        <f t="shared" si="0"/>
        <v>7988000</v>
      </c>
      <c r="N8" s="98"/>
      <c r="O8" s="99"/>
      <c r="P8" s="100">
        <v>612000</v>
      </c>
      <c r="Q8" s="101">
        <f t="shared" si="1"/>
        <v>8552000</v>
      </c>
      <c r="R8" s="98"/>
      <c r="S8" s="99"/>
      <c r="T8" s="100">
        <v>550000</v>
      </c>
      <c r="U8" s="101">
        <f t="shared" si="2"/>
        <v>4400000</v>
      </c>
      <c r="V8" s="98"/>
      <c r="W8" s="99"/>
      <c r="X8" s="100">
        <v>1000000</v>
      </c>
      <c r="Y8" s="102">
        <f t="shared" si="5"/>
        <v>8000000</v>
      </c>
      <c r="Z8" s="98"/>
      <c r="AA8" s="99"/>
      <c r="AB8" s="100">
        <v>1000000</v>
      </c>
      <c r="AC8" s="101">
        <f t="shared" ref="AC8:AC15" si="6">AC7-AB8</f>
        <v>9000000</v>
      </c>
      <c r="AD8" s="98"/>
      <c r="AE8" s="99"/>
      <c r="AF8" s="100">
        <v>612000</v>
      </c>
      <c r="AG8" s="101">
        <f t="shared" ref="AG8:AG16" si="7">AG7-AF8</f>
        <v>9776000</v>
      </c>
      <c r="AH8" s="98"/>
      <c r="AI8" s="99"/>
      <c r="AJ8" s="100">
        <v>612000</v>
      </c>
      <c r="AK8" s="101">
        <f>AK7-AJ8</f>
        <v>10388000</v>
      </c>
      <c r="AL8" s="98">
        <v>10000000</v>
      </c>
      <c r="AM8" s="99">
        <v>1000000</v>
      </c>
      <c r="AN8" s="100"/>
      <c r="AO8" s="101">
        <f>AL8+AM8</f>
        <v>11000000</v>
      </c>
      <c r="AP8" s="98">
        <v>10000000</v>
      </c>
      <c r="AQ8" s="99">
        <v>1000000</v>
      </c>
      <c r="AR8" s="100"/>
      <c r="AS8" s="101">
        <f>AP8+AQ8</f>
        <v>11000000</v>
      </c>
      <c r="AT8" s="98"/>
      <c r="AU8" s="99"/>
      <c r="AV8" s="100"/>
      <c r="AW8" s="101">
        <f>AT8+AU8</f>
        <v>0</v>
      </c>
      <c r="AX8" s="98"/>
      <c r="AY8" s="99"/>
      <c r="AZ8" s="100"/>
      <c r="BA8" s="101"/>
      <c r="BB8" s="98"/>
      <c r="BC8" s="99"/>
      <c r="BD8" s="100"/>
      <c r="BE8" s="101"/>
      <c r="BF8" s="98"/>
      <c r="BG8" s="99"/>
      <c r="BH8" s="100"/>
      <c r="BI8" s="101"/>
      <c r="BJ8" s="98"/>
      <c r="BK8" s="99"/>
      <c r="BL8" s="100"/>
      <c r="BM8" s="101"/>
      <c r="BN8" s="98"/>
      <c r="BO8" s="99"/>
      <c r="BP8" s="100"/>
      <c r="BQ8" s="101"/>
      <c r="BR8" s="98"/>
      <c r="BS8" s="99"/>
      <c r="BT8" s="100"/>
      <c r="BU8" s="101"/>
    </row>
    <row r="9" spans="1:73" customFormat="1" x14ac:dyDescent="0.2">
      <c r="A9" s="21">
        <v>45413</v>
      </c>
      <c r="B9" s="98"/>
      <c r="C9" s="99"/>
      <c r="D9" s="100">
        <v>716000</v>
      </c>
      <c r="E9" s="101">
        <f t="shared" si="3"/>
        <v>6574000</v>
      </c>
      <c r="F9" s="98"/>
      <c r="G9" s="99"/>
      <c r="H9" s="100">
        <v>611000</v>
      </c>
      <c r="I9" s="101">
        <f t="shared" si="4"/>
        <v>6719000</v>
      </c>
      <c r="J9" s="98"/>
      <c r="K9" s="99"/>
      <c r="L9" s="100">
        <v>600000</v>
      </c>
      <c r="M9" s="101">
        <f t="shared" si="0"/>
        <v>7388000</v>
      </c>
      <c r="N9" s="98"/>
      <c r="O9" s="99"/>
      <c r="P9" s="100">
        <v>612000</v>
      </c>
      <c r="Q9" s="101">
        <f t="shared" si="1"/>
        <v>7940000</v>
      </c>
      <c r="R9" s="98"/>
      <c r="S9" s="99"/>
      <c r="T9" s="100">
        <v>550000</v>
      </c>
      <c r="U9" s="101">
        <f t="shared" si="2"/>
        <v>3850000</v>
      </c>
      <c r="V9" s="98"/>
      <c r="W9" s="99"/>
      <c r="X9" s="100">
        <v>700000</v>
      </c>
      <c r="Y9" s="102">
        <f t="shared" si="5"/>
        <v>7300000</v>
      </c>
      <c r="Z9" s="98"/>
      <c r="AA9" s="99"/>
      <c r="AB9" s="100">
        <v>1000000</v>
      </c>
      <c r="AC9" s="101">
        <f t="shared" si="6"/>
        <v>8000000</v>
      </c>
      <c r="AD9" s="98"/>
      <c r="AE9" s="99"/>
      <c r="AF9" s="100">
        <v>612000</v>
      </c>
      <c r="AG9" s="101">
        <f t="shared" si="7"/>
        <v>9164000</v>
      </c>
      <c r="AH9" s="98"/>
      <c r="AI9" s="99"/>
      <c r="AJ9" s="100">
        <v>612000</v>
      </c>
      <c r="AK9" s="101">
        <f t="shared" ref="AK9:AK16" si="8">AK8-AJ9</f>
        <v>9776000</v>
      </c>
      <c r="AL9" s="98"/>
      <c r="AM9" s="99"/>
      <c r="AN9" s="100">
        <v>620000</v>
      </c>
      <c r="AO9" s="101">
        <f>AO8-AN9</f>
        <v>10380000</v>
      </c>
      <c r="AP9" s="98"/>
      <c r="AQ9" s="99"/>
      <c r="AR9" s="100">
        <v>700000</v>
      </c>
      <c r="AS9" s="101">
        <f>AS8-AR9</f>
        <v>10300000</v>
      </c>
      <c r="AT9" s="98">
        <v>10000000</v>
      </c>
      <c r="AU9" s="99">
        <v>1000000</v>
      </c>
      <c r="AV9" s="100">
        <v>0</v>
      </c>
      <c r="AW9" s="101">
        <f>AT9+AU9-AV9</f>
        <v>11000000</v>
      </c>
      <c r="AX9" s="98"/>
      <c r="AY9" s="99"/>
      <c r="AZ9" s="100"/>
      <c r="BA9" s="101"/>
      <c r="BB9" s="98"/>
      <c r="BC9" s="99"/>
      <c r="BD9" s="100"/>
      <c r="BE9" s="101"/>
      <c r="BF9" s="98"/>
      <c r="BG9" s="99"/>
      <c r="BH9" s="100"/>
      <c r="BI9" s="101"/>
      <c r="BJ9" s="98"/>
      <c r="BK9" s="99"/>
      <c r="BL9" s="100"/>
      <c r="BM9" s="101"/>
      <c r="BN9" s="98"/>
      <c r="BO9" s="99"/>
      <c r="BP9" s="100"/>
      <c r="BQ9" s="101"/>
      <c r="BR9" s="98"/>
      <c r="BS9" s="99"/>
      <c r="BT9" s="100"/>
      <c r="BU9" s="101"/>
    </row>
    <row r="10" spans="1:73" customFormat="1" x14ac:dyDescent="0.2">
      <c r="A10" s="21">
        <v>45444</v>
      </c>
      <c r="B10" s="98"/>
      <c r="C10" s="99"/>
      <c r="D10" s="100">
        <v>1200000</v>
      </c>
      <c r="E10" s="101">
        <f t="shared" si="3"/>
        <v>5374000</v>
      </c>
      <c r="F10" s="98"/>
      <c r="G10" s="99"/>
      <c r="H10" s="100">
        <v>611000</v>
      </c>
      <c r="I10" s="101">
        <f t="shared" si="4"/>
        <v>6108000</v>
      </c>
      <c r="J10" s="98"/>
      <c r="K10" s="99"/>
      <c r="L10" s="100">
        <v>612000</v>
      </c>
      <c r="M10" s="101">
        <f t="shared" si="0"/>
        <v>6776000</v>
      </c>
      <c r="N10" s="98"/>
      <c r="O10" s="99"/>
      <c r="P10" s="100">
        <v>612000</v>
      </c>
      <c r="Q10" s="101">
        <f t="shared" si="1"/>
        <v>7328000</v>
      </c>
      <c r="R10" s="98"/>
      <c r="S10" s="99"/>
      <c r="T10" s="100">
        <v>550000</v>
      </c>
      <c r="U10" s="101">
        <f t="shared" si="2"/>
        <v>3300000</v>
      </c>
      <c r="V10" s="98"/>
      <c r="W10" s="99"/>
      <c r="X10" s="100">
        <v>1000000</v>
      </c>
      <c r="Y10" s="102">
        <f t="shared" si="5"/>
        <v>6300000</v>
      </c>
      <c r="Z10" s="98"/>
      <c r="AA10" s="99"/>
      <c r="AB10" s="100">
        <v>1000000</v>
      </c>
      <c r="AC10" s="101">
        <f t="shared" si="6"/>
        <v>7000000</v>
      </c>
      <c r="AD10" s="98"/>
      <c r="AE10" s="99"/>
      <c r="AF10" s="100">
        <v>612000</v>
      </c>
      <c r="AG10" s="101">
        <f t="shared" si="7"/>
        <v>8552000</v>
      </c>
      <c r="AH10" s="98"/>
      <c r="AI10" s="99"/>
      <c r="AJ10" s="100">
        <v>612000</v>
      </c>
      <c r="AK10" s="101">
        <f t="shared" si="8"/>
        <v>9164000</v>
      </c>
      <c r="AL10" s="98"/>
      <c r="AM10" s="99"/>
      <c r="AN10" s="100">
        <v>600000</v>
      </c>
      <c r="AO10" s="101">
        <f t="shared" ref="AO10:AO16" si="9">AO9-AN10</f>
        <v>9780000</v>
      </c>
      <c r="AP10" s="98"/>
      <c r="AQ10" s="99"/>
      <c r="AR10" s="100">
        <v>700000</v>
      </c>
      <c r="AS10" s="101">
        <f t="shared" ref="AS10:AS15" si="10">AS9-AR10</f>
        <v>9600000</v>
      </c>
      <c r="AT10" s="98"/>
      <c r="AU10" s="99"/>
      <c r="AV10" s="100">
        <v>612000</v>
      </c>
      <c r="AW10" s="101">
        <f>AW9-AV10</f>
        <v>10388000</v>
      </c>
      <c r="AX10" s="98">
        <v>15000000</v>
      </c>
      <c r="AY10" s="99">
        <v>1500000</v>
      </c>
      <c r="AZ10" s="100"/>
      <c r="BA10" s="101">
        <f>AX10+AY10</f>
        <v>16500000</v>
      </c>
      <c r="BB10" s="98">
        <v>15000000</v>
      </c>
      <c r="BC10" s="99">
        <v>1500000</v>
      </c>
      <c r="BD10" s="100"/>
      <c r="BE10" s="101">
        <f>BB10+BC10</f>
        <v>16500000</v>
      </c>
      <c r="BF10" s="98"/>
      <c r="BG10" s="99"/>
      <c r="BH10" s="100"/>
      <c r="BI10" s="101">
        <f>BF10+BG10</f>
        <v>0</v>
      </c>
      <c r="BJ10" s="98"/>
      <c r="BK10" s="99"/>
      <c r="BL10" s="100"/>
      <c r="BM10" s="101"/>
      <c r="BN10" s="98"/>
      <c r="BO10" s="99"/>
      <c r="BP10" s="100"/>
      <c r="BQ10" s="101"/>
      <c r="BR10" s="98"/>
      <c r="BS10" s="99"/>
      <c r="BT10" s="100"/>
      <c r="BU10" s="101"/>
    </row>
    <row r="11" spans="1:73" customFormat="1" x14ac:dyDescent="0.2">
      <c r="A11" s="21">
        <v>45474</v>
      </c>
      <c r="B11" s="98"/>
      <c r="C11" s="99"/>
      <c r="D11" s="100">
        <v>612000</v>
      </c>
      <c r="E11" s="101">
        <f t="shared" si="3"/>
        <v>4762000</v>
      </c>
      <c r="F11" s="98"/>
      <c r="G11" s="99"/>
      <c r="H11" s="100">
        <v>611000</v>
      </c>
      <c r="I11" s="101">
        <f t="shared" si="4"/>
        <v>5497000</v>
      </c>
      <c r="J11" s="98"/>
      <c r="K11" s="99"/>
      <c r="L11" s="100">
        <v>612000</v>
      </c>
      <c r="M11" s="101">
        <f t="shared" si="0"/>
        <v>6164000</v>
      </c>
      <c r="N11" s="98"/>
      <c r="O11" s="99"/>
      <c r="P11" s="100">
        <v>612000</v>
      </c>
      <c r="Q11" s="101">
        <f t="shared" si="1"/>
        <v>6716000</v>
      </c>
      <c r="R11" s="98"/>
      <c r="S11" s="99"/>
      <c r="T11" s="100">
        <v>550000</v>
      </c>
      <c r="U11" s="101">
        <f t="shared" si="2"/>
        <v>2750000</v>
      </c>
      <c r="V11" s="98"/>
      <c r="W11" s="99"/>
      <c r="X11" s="100">
        <v>1000000</v>
      </c>
      <c r="Y11" s="102">
        <f t="shared" si="5"/>
        <v>5300000</v>
      </c>
      <c r="Z11" s="98"/>
      <c r="AA11" s="99"/>
      <c r="AB11" s="100">
        <v>1000000</v>
      </c>
      <c r="AC11" s="101">
        <f t="shared" si="6"/>
        <v>6000000</v>
      </c>
      <c r="AD11" s="98"/>
      <c r="AE11" s="99"/>
      <c r="AF11" s="100">
        <v>612000</v>
      </c>
      <c r="AG11" s="101">
        <f t="shared" si="7"/>
        <v>7940000</v>
      </c>
      <c r="AH11" s="98"/>
      <c r="AI11" s="99"/>
      <c r="AJ11" s="100">
        <v>612000</v>
      </c>
      <c r="AK11" s="101">
        <f t="shared" si="8"/>
        <v>8552000</v>
      </c>
      <c r="AL11" s="98"/>
      <c r="AM11" s="99"/>
      <c r="AN11" s="100">
        <v>620000</v>
      </c>
      <c r="AO11" s="101">
        <f t="shared" si="9"/>
        <v>9160000</v>
      </c>
      <c r="AP11" s="98"/>
      <c r="AQ11" s="99"/>
      <c r="AR11" s="100"/>
      <c r="AS11" s="101">
        <f t="shared" si="10"/>
        <v>9600000</v>
      </c>
      <c r="AT11" s="98"/>
      <c r="AU11" s="99"/>
      <c r="AV11" s="100">
        <v>612000</v>
      </c>
      <c r="AW11" s="101">
        <f t="shared" ref="AW11:AW16" si="11">AW10-AV11</f>
        <v>9776000</v>
      </c>
      <c r="AX11" s="98"/>
      <c r="AY11" s="99"/>
      <c r="AZ11" s="100">
        <v>718000</v>
      </c>
      <c r="BA11" s="101">
        <f t="shared" ref="BA11:BA16" si="12">BA10-AZ11</f>
        <v>15782000</v>
      </c>
      <c r="BB11" s="98"/>
      <c r="BC11" s="99"/>
      <c r="BD11" s="100">
        <v>1000000</v>
      </c>
      <c r="BE11" s="101">
        <f t="shared" ref="BE11:BE16" si="13">BE10-BD11</f>
        <v>15500000</v>
      </c>
      <c r="BF11" s="98">
        <v>20000000</v>
      </c>
      <c r="BG11" s="99">
        <v>2000000</v>
      </c>
      <c r="BH11" s="100"/>
      <c r="BI11" s="101">
        <f>BF11+BG11</f>
        <v>22000000</v>
      </c>
      <c r="BJ11" s="98"/>
      <c r="BK11" s="99"/>
      <c r="BL11" s="100"/>
      <c r="BM11" s="101"/>
      <c r="BN11" s="98"/>
      <c r="BO11" s="99"/>
      <c r="BP11" s="100"/>
      <c r="BQ11" s="101"/>
      <c r="BR11" s="98"/>
      <c r="BS11" s="99"/>
      <c r="BT11" s="100"/>
      <c r="BU11" s="101"/>
    </row>
    <row r="12" spans="1:73" customFormat="1" x14ac:dyDescent="0.2">
      <c r="A12" s="21">
        <v>45505</v>
      </c>
      <c r="B12" s="98"/>
      <c r="C12" s="99"/>
      <c r="D12" s="100">
        <v>630000</v>
      </c>
      <c r="E12" s="101">
        <f t="shared" si="3"/>
        <v>4132000</v>
      </c>
      <c r="F12" s="98"/>
      <c r="G12" s="99"/>
      <c r="H12" s="100">
        <v>610000</v>
      </c>
      <c r="I12" s="101">
        <f t="shared" si="4"/>
        <v>4887000</v>
      </c>
      <c r="J12" s="98"/>
      <c r="K12" s="99"/>
      <c r="L12" s="100">
        <v>612000</v>
      </c>
      <c r="M12" s="101">
        <f t="shared" si="0"/>
        <v>5552000</v>
      </c>
      <c r="N12" s="98"/>
      <c r="O12" s="99"/>
      <c r="P12" s="100">
        <v>612000</v>
      </c>
      <c r="Q12" s="101">
        <f t="shared" si="1"/>
        <v>6104000</v>
      </c>
      <c r="R12" s="98"/>
      <c r="S12" s="99"/>
      <c r="T12" s="100">
        <v>2750000</v>
      </c>
      <c r="U12" s="101">
        <f t="shared" si="2"/>
        <v>0</v>
      </c>
      <c r="V12" s="98"/>
      <c r="W12" s="99"/>
      <c r="X12" s="100">
        <v>1000000</v>
      </c>
      <c r="Y12" s="102">
        <f t="shared" si="5"/>
        <v>4300000</v>
      </c>
      <c r="Z12" s="98"/>
      <c r="AA12" s="99"/>
      <c r="AB12" s="100">
        <v>1000000</v>
      </c>
      <c r="AC12" s="101">
        <f t="shared" si="6"/>
        <v>5000000</v>
      </c>
      <c r="AD12" s="98"/>
      <c r="AE12" s="99"/>
      <c r="AF12" s="100">
        <v>612000</v>
      </c>
      <c r="AG12" s="101">
        <f t="shared" si="7"/>
        <v>7328000</v>
      </c>
      <c r="AH12" s="98"/>
      <c r="AI12" s="99"/>
      <c r="AJ12" s="100">
        <v>612000</v>
      </c>
      <c r="AK12" s="101">
        <f t="shared" si="8"/>
        <v>7940000</v>
      </c>
      <c r="AL12" s="98"/>
      <c r="AM12" s="99"/>
      <c r="AN12" s="100">
        <v>612000</v>
      </c>
      <c r="AO12" s="101">
        <f t="shared" si="9"/>
        <v>8548000</v>
      </c>
      <c r="AP12" s="98"/>
      <c r="AQ12" s="99"/>
      <c r="AR12" s="100"/>
      <c r="AS12" s="101">
        <f t="shared" si="10"/>
        <v>9600000</v>
      </c>
      <c r="AT12" s="98"/>
      <c r="AU12" s="99"/>
      <c r="AV12" s="100">
        <v>612000</v>
      </c>
      <c r="AW12" s="101">
        <f t="shared" si="11"/>
        <v>9164000</v>
      </c>
      <c r="AX12" s="98"/>
      <c r="AY12" s="99"/>
      <c r="AZ12" s="100">
        <v>718000</v>
      </c>
      <c r="BA12" s="101">
        <f t="shared" si="12"/>
        <v>15064000</v>
      </c>
      <c r="BB12" s="98"/>
      <c r="BC12" s="99"/>
      <c r="BD12" s="100">
        <v>800000</v>
      </c>
      <c r="BE12" s="101">
        <f t="shared" si="13"/>
        <v>14700000</v>
      </c>
      <c r="BF12" s="98"/>
      <c r="BG12" s="99"/>
      <c r="BH12" s="100">
        <v>1300000</v>
      </c>
      <c r="BI12" s="101">
        <f t="shared" ref="BI12:BI15" si="14">BI11-BH12</f>
        <v>20700000</v>
      </c>
      <c r="BJ12" s="98">
        <v>20000000</v>
      </c>
      <c r="BK12" s="99">
        <v>2000000</v>
      </c>
      <c r="BL12" s="100"/>
      <c r="BM12" s="101">
        <f>BJ12+BK12</f>
        <v>22000000</v>
      </c>
      <c r="BN12" s="98"/>
      <c r="BO12" s="99"/>
      <c r="BP12" s="100"/>
      <c r="BQ12" s="101"/>
      <c r="BR12" s="98"/>
      <c r="BS12" s="99"/>
      <c r="BT12" s="100"/>
      <c r="BU12" s="101"/>
    </row>
    <row r="13" spans="1:73" customFormat="1" x14ac:dyDescent="0.2">
      <c r="A13" s="21">
        <v>45536</v>
      </c>
      <c r="B13" s="98"/>
      <c r="C13" s="99"/>
      <c r="D13" s="100">
        <v>700000</v>
      </c>
      <c r="E13" s="101">
        <f t="shared" si="3"/>
        <v>3432000</v>
      </c>
      <c r="F13" s="98"/>
      <c r="G13" s="99"/>
      <c r="H13" s="100">
        <v>612000</v>
      </c>
      <c r="I13" s="101">
        <f t="shared" si="4"/>
        <v>4275000</v>
      </c>
      <c r="J13" s="98"/>
      <c r="K13" s="99"/>
      <c r="L13" s="103">
        <v>612000</v>
      </c>
      <c r="M13" s="101">
        <f t="shared" si="0"/>
        <v>4940000</v>
      </c>
      <c r="N13" s="98"/>
      <c r="O13" s="99"/>
      <c r="P13" s="100">
        <v>612000</v>
      </c>
      <c r="Q13" s="101">
        <f t="shared" si="1"/>
        <v>5492000</v>
      </c>
      <c r="R13" s="98"/>
      <c r="S13" s="99"/>
      <c r="T13" s="100"/>
      <c r="U13" s="101">
        <f t="shared" si="2"/>
        <v>0</v>
      </c>
      <c r="V13" s="98"/>
      <c r="W13" s="99"/>
      <c r="X13" s="100">
        <v>4300000</v>
      </c>
      <c r="Y13" s="102">
        <f t="shared" si="5"/>
        <v>0</v>
      </c>
      <c r="Z13" s="98"/>
      <c r="AA13" s="99"/>
      <c r="AB13" s="100">
        <v>1000000</v>
      </c>
      <c r="AC13" s="101">
        <f t="shared" si="6"/>
        <v>4000000</v>
      </c>
      <c r="AD13" s="98"/>
      <c r="AE13" s="99"/>
      <c r="AF13" s="100">
        <v>612000</v>
      </c>
      <c r="AG13" s="101">
        <f t="shared" si="7"/>
        <v>6716000</v>
      </c>
      <c r="AH13" s="98"/>
      <c r="AI13" s="99"/>
      <c r="AJ13" s="100">
        <v>612000</v>
      </c>
      <c r="AK13" s="101">
        <f t="shared" si="8"/>
        <v>7328000</v>
      </c>
      <c r="AL13" s="98"/>
      <c r="AM13" s="99"/>
      <c r="AN13" s="100">
        <v>612000</v>
      </c>
      <c r="AO13" s="101">
        <f t="shared" si="9"/>
        <v>7936000</v>
      </c>
      <c r="AP13" s="98"/>
      <c r="AQ13" s="99"/>
      <c r="AR13" s="100"/>
      <c r="AS13" s="101">
        <f t="shared" si="10"/>
        <v>9600000</v>
      </c>
      <c r="AT13" s="98"/>
      <c r="AU13" s="99"/>
      <c r="AV13" s="100">
        <v>612000</v>
      </c>
      <c r="AW13" s="101">
        <f t="shared" si="11"/>
        <v>8552000</v>
      </c>
      <c r="AX13" s="98"/>
      <c r="AY13" s="99"/>
      <c r="AZ13" s="100">
        <v>717000</v>
      </c>
      <c r="BA13" s="101">
        <f t="shared" si="12"/>
        <v>14347000</v>
      </c>
      <c r="BB13" s="98"/>
      <c r="BC13" s="99"/>
      <c r="BD13" s="100">
        <v>800000</v>
      </c>
      <c r="BE13" s="101">
        <f t="shared" si="13"/>
        <v>13900000</v>
      </c>
      <c r="BF13" s="98"/>
      <c r="BG13" s="99"/>
      <c r="BH13" s="100">
        <v>1300000</v>
      </c>
      <c r="BI13" s="101">
        <f t="shared" si="14"/>
        <v>19400000</v>
      </c>
      <c r="BJ13" s="98"/>
      <c r="BK13" s="99"/>
      <c r="BL13" s="100"/>
      <c r="BM13" s="101">
        <f t="shared" ref="BM13:BM16" si="15">BM12-BL13</f>
        <v>22000000</v>
      </c>
      <c r="BN13" s="98">
        <v>20000000</v>
      </c>
      <c r="BO13" s="99">
        <v>2000000</v>
      </c>
      <c r="BP13" s="100">
        <v>1000000</v>
      </c>
      <c r="BQ13" s="101">
        <f>BN13+BO13-BP13</f>
        <v>21000000</v>
      </c>
      <c r="BR13" s="98"/>
      <c r="BS13" s="99"/>
      <c r="BT13" s="100"/>
      <c r="BU13" s="101">
        <f>BR13+BS13-BT13</f>
        <v>0</v>
      </c>
    </row>
    <row r="14" spans="1:73" customFormat="1" x14ac:dyDescent="0.2">
      <c r="A14" s="21">
        <v>45566</v>
      </c>
      <c r="B14" s="98"/>
      <c r="C14" s="99"/>
      <c r="D14" s="100">
        <v>615000</v>
      </c>
      <c r="E14" s="101">
        <f t="shared" si="3"/>
        <v>2817000</v>
      </c>
      <c r="F14" s="98"/>
      <c r="G14" s="99"/>
      <c r="H14" s="100">
        <v>612000</v>
      </c>
      <c r="I14" s="101">
        <f t="shared" si="4"/>
        <v>3663000</v>
      </c>
      <c r="J14" s="98"/>
      <c r="K14" s="99"/>
      <c r="L14" s="100"/>
      <c r="M14" s="101">
        <f t="shared" si="0"/>
        <v>4940000</v>
      </c>
      <c r="N14" s="98"/>
      <c r="O14" s="99"/>
      <c r="P14" s="100">
        <v>600000</v>
      </c>
      <c r="Q14" s="101">
        <f t="shared" si="1"/>
        <v>4892000</v>
      </c>
      <c r="R14" s="98"/>
      <c r="S14" s="99"/>
      <c r="T14" s="100"/>
      <c r="U14" s="101">
        <f t="shared" si="2"/>
        <v>0</v>
      </c>
      <c r="V14" s="98"/>
      <c r="W14" s="99"/>
      <c r="X14" s="100"/>
      <c r="Y14" s="102">
        <f t="shared" si="5"/>
        <v>0</v>
      </c>
      <c r="Z14" s="98"/>
      <c r="AA14" s="99"/>
      <c r="AB14" s="100">
        <v>1000000</v>
      </c>
      <c r="AC14" s="101">
        <f t="shared" si="6"/>
        <v>3000000</v>
      </c>
      <c r="AD14" s="98"/>
      <c r="AE14" s="99"/>
      <c r="AF14" s="100">
        <v>612000</v>
      </c>
      <c r="AG14" s="101">
        <f t="shared" si="7"/>
        <v>6104000</v>
      </c>
      <c r="AH14" s="98"/>
      <c r="AI14" s="99"/>
      <c r="AJ14" s="100">
        <v>612000</v>
      </c>
      <c r="AK14" s="101">
        <f t="shared" si="8"/>
        <v>6716000</v>
      </c>
      <c r="AL14" s="98"/>
      <c r="AM14" s="99"/>
      <c r="AN14" s="100">
        <v>612000</v>
      </c>
      <c r="AO14" s="101">
        <f t="shared" si="9"/>
        <v>7324000</v>
      </c>
      <c r="AP14" s="98"/>
      <c r="AQ14" s="99"/>
      <c r="AR14" s="100">
        <v>1000000</v>
      </c>
      <c r="AS14" s="101">
        <f t="shared" si="10"/>
        <v>8600000</v>
      </c>
      <c r="AT14" s="98"/>
      <c r="AU14" s="99"/>
      <c r="AV14" s="100">
        <v>612000</v>
      </c>
      <c r="AW14" s="101">
        <f t="shared" si="11"/>
        <v>7940000</v>
      </c>
      <c r="AX14" s="98"/>
      <c r="AY14" s="99"/>
      <c r="AZ14" s="100">
        <v>517000</v>
      </c>
      <c r="BA14" s="101">
        <f t="shared" si="12"/>
        <v>13830000</v>
      </c>
      <c r="BB14" s="98"/>
      <c r="BC14" s="99"/>
      <c r="BD14" s="100">
        <v>800000</v>
      </c>
      <c r="BE14" s="101">
        <f t="shared" si="13"/>
        <v>13100000</v>
      </c>
      <c r="BF14" s="98"/>
      <c r="BG14" s="99"/>
      <c r="BH14" s="100">
        <v>1300000</v>
      </c>
      <c r="BI14" s="101">
        <f t="shared" si="14"/>
        <v>18100000</v>
      </c>
      <c r="BJ14" s="98"/>
      <c r="BK14" s="99"/>
      <c r="BL14" s="100"/>
      <c r="BM14" s="101">
        <f t="shared" si="15"/>
        <v>22000000</v>
      </c>
      <c r="BN14" s="98"/>
      <c r="BO14" s="99"/>
      <c r="BP14" s="100">
        <v>1250000</v>
      </c>
      <c r="BQ14" s="101">
        <f t="shared" ref="BQ14:BQ16" si="16">BQ13-BP14</f>
        <v>19750000</v>
      </c>
      <c r="BR14" s="98">
        <v>22000000</v>
      </c>
      <c r="BS14" s="99">
        <v>2200000</v>
      </c>
      <c r="BT14" s="100">
        <v>0</v>
      </c>
      <c r="BU14" s="101">
        <f>BR14+BS14</f>
        <v>24200000</v>
      </c>
    </row>
    <row r="15" spans="1:73" customFormat="1" x14ac:dyDescent="0.2">
      <c r="A15" s="21">
        <v>45597</v>
      </c>
      <c r="B15" s="104"/>
      <c r="C15" s="105"/>
      <c r="D15" s="106">
        <v>600000</v>
      </c>
      <c r="E15" s="107">
        <f t="shared" si="3"/>
        <v>2217000</v>
      </c>
      <c r="F15" s="104"/>
      <c r="G15" s="105"/>
      <c r="H15" s="106">
        <v>615000</v>
      </c>
      <c r="I15" s="107">
        <f t="shared" si="4"/>
        <v>3048000</v>
      </c>
      <c r="J15" s="104"/>
      <c r="K15" s="105"/>
      <c r="L15" s="106"/>
      <c r="M15" s="107">
        <f t="shared" si="0"/>
        <v>4940000</v>
      </c>
      <c r="N15" s="104"/>
      <c r="O15" s="105"/>
      <c r="P15" s="106">
        <v>600000</v>
      </c>
      <c r="Q15" s="107">
        <f t="shared" si="1"/>
        <v>4292000</v>
      </c>
      <c r="R15" s="104"/>
      <c r="S15" s="105"/>
      <c r="T15" s="106"/>
      <c r="U15" s="107">
        <f t="shared" si="2"/>
        <v>0</v>
      </c>
      <c r="V15" s="104"/>
      <c r="W15" s="105"/>
      <c r="X15" s="106"/>
      <c r="Y15" s="108">
        <f t="shared" si="5"/>
        <v>0</v>
      </c>
      <c r="Z15" s="104"/>
      <c r="AA15" s="105"/>
      <c r="AB15" s="106">
        <v>3000000</v>
      </c>
      <c r="AC15" s="107">
        <f t="shared" si="6"/>
        <v>0</v>
      </c>
      <c r="AD15" s="104"/>
      <c r="AE15" s="105"/>
      <c r="AF15" s="106">
        <v>612000</v>
      </c>
      <c r="AG15" s="107">
        <f t="shared" si="7"/>
        <v>5492000</v>
      </c>
      <c r="AH15" s="104"/>
      <c r="AI15" s="105"/>
      <c r="AJ15" s="106">
        <v>612000</v>
      </c>
      <c r="AK15" s="107">
        <f t="shared" si="8"/>
        <v>6104000</v>
      </c>
      <c r="AL15" s="104"/>
      <c r="AM15" s="105"/>
      <c r="AN15" s="106">
        <v>600000</v>
      </c>
      <c r="AO15" s="107">
        <f t="shared" si="9"/>
        <v>6724000</v>
      </c>
      <c r="AP15" s="104"/>
      <c r="AQ15" s="105"/>
      <c r="AR15" s="106"/>
      <c r="AS15" s="107">
        <f t="shared" si="10"/>
        <v>8600000</v>
      </c>
      <c r="AT15" s="104"/>
      <c r="AU15" s="105"/>
      <c r="AV15" s="106">
        <v>612000</v>
      </c>
      <c r="AW15" s="107">
        <f t="shared" si="11"/>
        <v>7328000</v>
      </c>
      <c r="AX15" s="104"/>
      <c r="AY15" s="105"/>
      <c r="AZ15" s="106">
        <v>917000</v>
      </c>
      <c r="BA15" s="107">
        <f t="shared" si="12"/>
        <v>12913000</v>
      </c>
      <c r="BB15" s="104"/>
      <c r="BC15" s="105"/>
      <c r="BD15" s="106">
        <v>800000</v>
      </c>
      <c r="BE15" s="107">
        <f t="shared" si="13"/>
        <v>12300000</v>
      </c>
      <c r="BF15" s="104"/>
      <c r="BG15" s="105"/>
      <c r="BH15" s="106">
        <v>1300000</v>
      </c>
      <c r="BI15" s="107">
        <f t="shared" si="14"/>
        <v>16800000</v>
      </c>
      <c r="BJ15" s="104"/>
      <c r="BK15" s="105"/>
      <c r="BL15" s="106">
        <v>2000000</v>
      </c>
      <c r="BM15" s="107">
        <f t="shared" si="15"/>
        <v>20000000</v>
      </c>
      <c r="BN15" s="104"/>
      <c r="BO15" s="105"/>
      <c r="BP15" s="106">
        <v>2000000</v>
      </c>
      <c r="BQ15" s="107">
        <f t="shared" si="16"/>
        <v>17750000</v>
      </c>
      <c r="BR15" s="104"/>
      <c r="BS15" s="105"/>
      <c r="BT15" s="106">
        <v>1862000</v>
      </c>
      <c r="BU15" s="107">
        <f t="shared" ref="BU15:BU16" si="17">BU14-BT15</f>
        <v>22338000</v>
      </c>
    </row>
    <row r="16" spans="1:73" customFormat="1" x14ac:dyDescent="0.2">
      <c r="A16" s="21">
        <v>45627</v>
      </c>
      <c r="B16" s="98"/>
      <c r="C16" s="99"/>
      <c r="D16" s="100"/>
      <c r="E16" s="101"/>
      <c r="F16" s="98"/>
      <c r="G16" s="99"/>
      <c r="H16" s="100">
        <v>616000</v>
      </c>
      <c r="I16" s="107">
        <f t="shared" si="4"/>
        <v>2432000</v>
      </c>
      <c r="J16" s="98"/>
      <c r="K16" s="99"/>
      <c r="L16" s="100"/>
      <c r="M16" s="101"/>
      <c r="N16" s="98"/>
      <c r="O16" s="99"/>
      <c r="P16" s="100"/>
      <c r="Q16" s="101"/>
      <c r="R16" s="98"/>
      <c r="S16" s="99"/>
      <c r="T16" s="100"/>
      <c r="U16" s="101"/>
      <c r="V16" s="98"/>
      <c r="W16" s="99"/>
      <c r="X16" s="100"/>
      <c r="Y16" s="102"/>
      <c r="Z16" s="98"/>
      <c r="AA16" s="99"/>
      <c r="AB16" s="100"/>
      <c r="AC16" s="101"/>
      <c r="AD16" s="98"/>
      <c r="AE16" s="99"/>
      <c r="AF16" s="100">
        <v>612000</v>
      </c>
      <c r="AG16" s="107">
        <f t="shared" si="7"/>
        <v>4880000</v>
      </c>
      <c r="AH16" s="98"/>
      <c r="AI16" s="99"/>
      <c r="AJ16" s="100">
        <v>612000</v>
      </c>
      <c r="AK16" s="107">
        <f t="shared" si="8"/>
        <v>5492000</v>
      </c>
      <c r="AL16" s="98"/>
      <c r="AM16" s="99"/>
      <c r="AN16" s="100">
        <v>612000</v>
      </c>
      <c r="AO16" s="107">
        <f t="shared" si="9"/>
        <v>6112000</v>
      </c>
      <c r="AP16" s="98"/>
      <c r="AQ16" s="99"/>
      <c r="AR16" s="100"/>
      <c r="AS16" s="101"/>
      <c r="AT16" s="98"/>
      <c r="AU16" s="99"/>
      <c r="AV16" s="100">
        <v>620000</v>
      </c>
      <c r="AW16" s="107">
        <f t="shared" si="11"/>
        <v>6708000</v>
      </c>
      <c r="AX16" s="98"/>
      <c r="AY16" s="99"/>
      <c r="AZ16" s="100">
        <v>717000</v>
      </c>
      <c r="BA16" s="107">
        <f t="shared" si="12"/>
        <v>12196000</v>
      </c>
      <c r="BB16" s="98"/>
      <c r="BC16" s="99"/>
      <c r="BD16" s="100">
        <v>800000</v>
      </c>
      <c r="BE16" s="107">
        <f t="shared" si="13"/>
        <v>11500000</v>
      </c>
      <c r="BF16" s="98"/>
      <c r="BG16" s="99"/>
      <c r="BH16" s="100"/>
      <c r="BI16" s="101"/>
      <c r="BJ16" s="98"/>
      <c r="BK16" s="99"/>
      <c r="BL16" s="100">
        <v>2000000</v>
      </c>
      <c r="BM16" s="107">
        <f t="shared" si="15"/>
        <v>18000000</v>
      </c>
      <c r="BN16" s="98"/>
      <c r="BO16" s="99"/>
      <c r="BP16" s="100">
        <v>1250000</v>
      </c>
      <c r="BQ16" s="107">
        <f t="shared" si="16"/>
        <v>16500000</v>
      </c>
      <c r="BR16" s="98"/>
      <c r="BS16" s="99"/>
      <c r="BT16" s="100">
        <v>1862000</v>
      </c>
      <c r="BU16" s="107">
        <f t="shared" si="17"/>
        <v>20476000</v>
      </c>
    </row>
    <row r="17" spans="1:81" s="48" customFormat="1" x14ac:dyDescent="0.2">
      <c r="A17" s="56" t="s">
        <v>9</v>
      </c>
      <c r="B17" s="109">
        <f>SUM(B4:B15)</f>
        <v>10000000</v>
      </c>
      <c r="C17" s="110">
        <f>SUM(C4:C15)</f>
        <v>1000000</v>
      </c>
      <c r="D17" s="111">
        <f>SUM(D4:D15)</f>
        <v>6873000</v>
      </c>
      <c r="E17" s="112"/>
      <c r="F17" s="109">
        <f>SUM(F4:F15)</f>
        <v>10000000</v>
      </c>
      <c r="G17" s="110">
        <f>SUM(G4:G15)</f>
        <v>1000000</v>
      </c>
      <c r="H17" s="111">
        <f>SUM(H4:H16)</f>
        <v>7342000</v>
      </c>
      <c r="I17" s="112"/>
      <c r="J17" s="109">
        <f>SUM(J4:J15)</f>
        <v>10000000</v>
      </c>
      <c r="K17" s="110">
        <f>SUM(K4:K15)</f>
        <v>1000000</v>
      </c>
      <c r="L17" s="111">
        <f>SUM(L4:L15)</f>
        <v>6060000</v>
      </c>
      <c r="M17" s="112"/>
      <c r="N17" s="109">
        <f>SUM(N4:N15)</f>
        <v>10000000</v>
      </c>
      <c r="O17" s="110">
        <f>SUM(O4:O15)</f>
        <v>1000000</v>
      </c>
      <c r="P17" s="111">
        <f>SUM(P4:P15)</f>
        <v>6708000</v>
      </c>
      <c r="Q17" s="112"/>
      <c r="R17" s="109">
        <f>SUM(R4:R15)</f>
        <v>6000000</v>
      </c>
      <c r="S17" s="110">
        <f>SUM(S4:S15)</f>
        <v>600000</v>
      </c>
      <c r="T17" s="111">
        <f>SUM(T4:T15)</f>
        <v>6600000</v>
      </c>
      <c r="U17" s="112"/>
      <c r="V17" s="109">
        <f t="shared" ref="V17:AI17" si="18">SUM(V4:V15)</f>
        <v>10000000</v>
      </c>
      <c r="W17" s="110">
        <f t="shared" si="18"/>
        <v>1000000</v>
      </c>
      <c r="X17" s="111">
        <f t="shared" si="18"/>
        <v>11000000</v>
      </c>
      <c r="Y17" s="112"/>
      <c r="Z17" s="109">
        <f t="shared" si="18"/>
        <v>10000000</v>
      </c>
      <c r="AA17" s="110">
        <f t="shared" si="18"/>
        <v>1000000</v>
      </c>
      <c r="AB17" s="111">
        <f t="shared" si="18"/>
        <v>11000000</v>
      </c>
      <c r="AC17" s="112"/>
      <c r="AD17" s="109">
        <f t="shared" si="18"/>
        <v>10000000</v>
      </c>
      <c r="AE17" s="110">
        <f t="shared" si="18"/>
        <v>1000000</v>
      </c>
      <c r="AF17" s="111">
        <f>SUM(AF4:AF16)</f>
        <v>6120000</v>
      </c>
      <c r="AG17" s="112"/>
      <c r="AH17" s="109">
        <f t="shared" si="18"/>
        <v>10000000</v>
      </c>
      <c r="AI17" s="110">
        <f t="shared" si="18"/>
        <v>1000000</v>
      </c>
      <c r="AJ17" s="111">
        <f>SUM(AJ4:AJ16)</f>
        <v>5508000</v>
      </c>
      <c r="AK17" s="112"/>
      <c r="AL17" s="109">
        <f t="shared" ref="AL17:AM17" si="19">SUM(AL4:AL15)</f>
        <v>10000000</v>
      </c>
      <c r="AM17" s="110">
        <f t="shared" si="19"/>
        <v>1000000</v>
      </c>
      <c r="AN17" s="111">
        <f>SUM(AN4:AN16)</f>
        <v>4888000</v>
      </c>
      <c r="AO17" s="112"/>
      <c r="AP17" s="109">
        <f t="shared" ref="AP17:AR17" si="20">SUM(AP4:AP15)</f>
        <v>10000000</v>
      </c>
      <c r="AQ17" s="110">
        <f t="shared" si="20"/>
        <v>1000000</v>
      </c>
      <c r="AR17" s="111">
        <f t="shared" si="20"/>
        <v>2400000</v>
      </c>
      <c r="AS17" s="112"/>
      <c r="AT17" s="109">
        <f t="shared" ref="AT17:AU17" si="21">SUM(AT4:AT15)</f>
        <v>10000000</v>
      </c>
      <c r="AU17" s="110">
        <f t="shared" si="21"/>
        <v>1000000</v>
      </c>
      <c r="AV17" s="111">
        <f>SUM(AV4:AV16)</f>
        <v>4292000</v>
      </c>
      <c r="AW17" s="112"/>
      <c r="AX17" s="109">
        <f t="shared" ref="AX17:AY17" si="22">SUM(AX4:AX15)</f>
        <v>15000000</v>
      </c>
      <c r="AY17" s="110">
        <f t="shared" si="22"/>
        <v>1500000</v>
      </c>
      <c r="AZ17" s="111">
        <f>SUM(AZ4:AZ16)</f>
        <v>4304000</v>
      </c>
      <c r="BA17" s="112"/>
      <c r="BB17" s="109">
        <f t="shared" ref="BB17:BC17" si="23">SUM(BB4:BB15)</f>
        <v>15000000</v>
      </c>
      <c r="BC17" s="110">
        <f t="shared" si="23"/>
        <v>1500000</v>
      </c>
      <c r="BD17" s="111">
        <f>SUM(BD4:BD16)</f>
        <v>5000000</v>
      </c>
      <c r="BE17" s="112"/>
      <c r="BF17" s="109">
        <f t="shared" ref="BF17:BH17" si="24">SUM(BF4:BF15)</f>
        <v>20000000</v>
      </c>
      <c r="BG17" s="110">
        <f t="shared" si="24"/>
        <v>2000000</v>
      </c>
      <c r="BH17" s="111">
        <f t="shared" si="24"/>
        <v>5200000</v>
      </c>
      <c r="BI17" s="112"/>
      <c r="BJ17" s="109">
        <f t="shared" ref="BJ17:BL17" si="25">SUM(BJ4:BJ15)</f>
        <v>20000000</v>
      </c>
      <c r="BK17" s="110">
        <f t="shared" si="25"/>
        <v>2000000</v>
      </c>
      <c r="BL17" s="111">
        <f t="shared" si="25"/>
        <v>2000000</v>
      </c>
      <c r="BM17" s="112"/>
      <c r="BN17" s="109">
        <f t="shared" ref="BN17:BO17" si="26">SUM(BN4:BN15)</f>
        <v>20000000</v>
      </c>
      <c r="BO17" s="110">
        <f t="shared" si="26"/>
        <v>2000000</v>
      </c>
      <c r="BP17" s="111">
        <f>SUM(BP4:BP16)</f>
        <v>5500000</v>
      </c>
      <c r="BQ17" s="112"/>
      <c r="BR17" s="109">
        <f t="shared" ref="BR17:BS17" si="27">SUM(BR4:BR15)</f>
        <v>22000000</v>
      </c>
      <c r="BS17" s="110">
        <f t="shared" si="27"/>
        <v>2200000</v>
      </c>
      <c r="BT17" s="111">
        <f>SUM(BT4:BT16)</f>
        <v>3724000</v>
      </c>
      <c r="BU17" s="112"/>
    </row>
    <row r="18" spans="1:81" x14ac:dyDescent="0.2">
      <c r="A18"/>
    </row>
    <row r="19" spans="1:81" x14ac:dyDescent="0.2">
      <c r="A19"/>
      <c r="AK19" s="14"/>
    </row>
    <row r="20" spans="1:81" x14ac:dyDescent="0.2">
      <c r="A20"/>
      <c r="AK20" s="14"/>
    </row>
    <row r="21" spans="1:81" ht="16" thickBot="1" x14ac:dyDescent="0.25">
      <c r="A21" s="5" t="s">
        <v>126</v>
      </c>
      <c r="AK21" s="14"/>
    </row>
    <row r="22" spans="1:81" s="16" customFormat="1" ht="16" thickBot="1" x14ac:dyDescent="0.25">
      <c r="B22" s="168"/>
      <c r="C22" s="72" t="s">
        <v>50</v>
      </c>
      <c r="D22" s="169">
        <v>45181</v>
      </c>
      <c r="E22" s="170"/>
      <c r="F22" s="168"/>
      <c r="G22" s="72" t="s">
        <v>67</v>
      </c>
      <c r="H22" s="169">
        <v>45208</v>
      </c>
      <c r="I22" s="170"/>
      <c r="J22" s="168"/>
      <c r="K22" s="72" t="s">
        <v>73</v>
      </c>
      <c r="L22" s="169">
        <v>45245</v>
      </c>
      <c r="M22" s="170"/>
      <c r="N22" s="168"/>
      <c r="O22" s="72" t="s">
        <v>68</v>
      </c>
      <c r="P22" s="169">
        <v>45267</v>
      </c>
      <c r="Q22" s="170"/>
      <c r="R22" s="168"/>
      <c r="S22" s="72" t="s">
        <v>75</v>
      </c>
      <c r="T22" s="70"/>
      <c r="U22" s="170"/>
      <c r="V22" s="168"/>
      <c r="W22" s="72" t="s">
        <v>76</v>
      </c>
      <c r="X22" s="70"/>
      <c r="Y22" s="170"/>
      <c r="Z22" s="168"/>
      <c r="AA22" s="72" t="s">
        <v>79</v>
      </c>
      <c r="AB22" s="70"/>
      <c r="AC22" s="170"/>
      <c r="AD22" s="168"/>
      <c r="AE22" s="72" t="s">
        <v>78</v>
      </c>
      <c r="AF22" s="70"/>
      <c r="AG22" s="170"/>
      <c r="AH22" s="168"/>
      <c r="AI22" s="72" t="s">
        <v>77</v>
      </c>
      <c r="AJ22" s="70"/>
      <c r="AK22" s="170"/>
      <c r="AL22" s="168"/>
      <c r="AM22" s="72" t="s">
        <v>93</v>
      </c>
      <c r="AN22" s="70"/>
      <c r="AO22" s="170"/>
      <c r="AP22" s="168"/>
      <c r="AQ22" s="72" t="s">
        <v>94</v>
      </c>
      <c r="AR22" s="70"/>
      <c r="AS22" s="170"/>
      <c r="AT22" s="168"/>
      <c r="AU22" s="72" t="s">
        <v>108</v>
      </c>
      <c r="AV22" s="70"/>
      <c r="AW22" s="170"/>
      <c r="AX22" s="168"/>
      <c r="AY22" s="72" t="s">
        <v>116</v>
      </c>
      <c r="AZ22" s="70"/>
      <c r="BA22" s="170"/>
      <c r="BB22" s="168"/>
      <c r="BC22" s="72" t="s">
        <v>117</v>
      </c>
      <c r="BD22" s="70"/>
      <c r="BE22" s="170"/>
      <c r="BF22" s="168"/>
      <c r="BG22" s="72" t="s">
        <v>119</v>
      </c>
      <c r="BH22" s="70"/>
      <c r="BI22" s="170"/>
      <c r="BJ22" s="168"/>
      <c r="BK22" s="72" t="s">
        <v>74</v>
      </c>
      <c r="BL22" s="70"/>
      <c r="BM22" s="170"/>
      <c r="BN22" s="168"/>
      <c r="BO22" s="72" t="s">
        <v>131</v>
      </c>
      <c r="BP22" s="70"/>
      <c r="BQ22" s="170"/>
      <c r="BR22" s="168"/>
      <c r="BS22" s="72" t="s">
        <v>132</v>
      </c>
      <c r="BT22" s="70"/>
      <c r="BU22" s="170"/>
      <c r="BV22" s="176"/>
      <c r="BW22" s="177" t="s">
        <v>135</v>
      </c>
      <c r="BX22" s="178"/>
      <c r="BY22" s="179"/>
      <c r="BZ22" s="176"/>
      <c r="CA22" s="177" t="s">
        <v>137</v>
      </c>
      <c r="CB22" s="178"/>
      <c r="CC22" s="179"/>
    </row>
    <row r="23" spans="1:81" customFormat="1" x14ac:dyDescent="0.2">
      <c r="A23" s="5" t="s">
        <v>20</v>
      </c>
      <c r="B23" s="49" t="s">
        <v>8</v>
      </c>
      <c r="C23" s="47" t="s">
        <v>3</v>
      </c>
      <c r="D23" s="43" t="s">
        <v>21</v>
      </c>
      <c r="E23" s="22" t="s">
        <v>11</v>
      </c>
      <c r="F23" s="49" t="s">
        <v>8</v>
      </c>
      <c r="G23" s="47" t="s">
        <v>3</v>
      </c>
      <c r="H23" s="43" t="s">
        <v>21</v>
      </c>
      <c r="I23" s="22" t="s">
        <v>11</v>
      </c>
      <c r="J23" s="49" t="s">
        <v>8</v>
      </c>
      <c r="K23" s="47" t="s">
        <v>3</v>
      </c>
      <c r="L23" s="43" t="s">
        <v>21</v>
      </c>
      <c r="M23" s="22" t="s">
        <v>11</v>
      </c>
      <c r="N23" s="49" t="s">
        <v>8</v>
      </c>
      <c r="O23" s="47" t="s">
        <v>3</v>
      </c>
      <c r="P23" s="43" t="s">
        <v>21</v>
      </c>
      <c r="Q23" s="22" t="s">
        <v>11</v>
      </c>
      <c r="R23" s="49" t="s">
        <v>8</v>
      </c>
      <c r="S23" s="47" t="s">
        <v>3</v>
      </c>
      <c r="T23" s="43" t="s">
        <v>21</v>
      </c>
      <c r="U23" s="22" t="s">
        <v>11</v>
      </c>
      <c r="V23" s="49" t="s">
        <v>8</v>
      </c>
      <c r="W23" s="47" t="s">
        <v>3</v>
      </c>
      <c r="X23" s="43" t="s">
        <v>21</v>
      </c>
      <c r="Y23" s="22" t="s">
        <v>11</v>
      </c>
      <c r="Z23" s="49" t="s">
        <v>8</v>
      </c>
      <c r="AA23" s="47" t="s">
        <v>3</v>
      </c>
      <c r="AB23" s="43" t="s">
        <v>21</v>
      </c>
      <c r="AC23" s="22" t="s">
        <v>11</v>
      </c>
      <c r="AD23" s="49" t="s">
        <v>8</v>
      </c>
      <c r="AE23" s="47" t="s">
        <v>3</v>
      </c>
      <c r="AF23" s="43" t="s">
        <v>21</v>
      </c>
      <c r="AG23" s="22" t="s">
        <v>11</v>
      </c>
      <c r="AH23" s="49" t="s">
        <v>8</v>
      </c>
      <c r="AI23" s="47" t="s">
        <v>3</v>
      </c>
      <c r="AJ23" s="43" t="s">
        <v>21</v>
      </c>
      <c r="AK23" s="22" t="s">
        <v>11</v>
      </c>
      <c r="AL23" s="49" t="s">
        <v>8</v>
      </c>
      <c r="AM23" s="47" t="s">
        <v>3</v>
      </c>
      <c r="AN23" s="43" t="s">
        <v>21</v>
      </c>
      <c r="AO23" s="22" t="s">
        <v>11</v>
      </c>
      <c r="AP23" s="49" t="s">
        <v>8</v>
      </c>
      <c r="AQ23" s="47" t="s">
        <v>3</v>
      </c>
      <c r="AR23" s="43" t="s">
        <v>21</v>
      </c>
      <c r="AS23" s="22" t="s">
        <v>11</v>
      </c>
      <c r="AT23" s="49" t="s">
        <v>8</v>
      </c>
      <c r="AU23" s="47" t="s">
        <v>3</v>
      </c>
      <c r="AV23" s="43" t="s">
        <v>21</v>
      </c>
      <c r="AW23" s="22" t="s">
        <v>11</v>
      </c>
      <c r="AX23" s="49" t="s">
        <v>8</v>
      </c>
      <c r="AY23" s="47" t="s">
        <v>3</v>
      </c>
      <c r="AZ23" s="43" t="s">
        <v>21</v>
      </c>
      <c r="BA23" s="22" t="s">
        <v>11</v>
      </c>
      <c r="BB23" s="49" t="s">
        <v>8</v>
      </c>
      <c r="BC23" s="47" t="s">
        <v>3</v>
      </c>
      <c r="BD23" s="43" t="s">
        <v>21</v>
      </c>
      <c r="BE23" s="22" t="s">
        <v>11</v>
      </c>
      <c r="BF23" s="49" t="s">
        <v>8</v>
      </c>
      <c r="BG23" s="47" t="s">
        <v>3</v>
      </c>
      <c r="BH23" s="43" t="s">
        <v>21</v>
      </c>
      <c r="BI23" s="22" t="s">
        <v>11</v>
      </c>
      <c r="BJ23" s="49" t="s">
        <v>8</v>
      </c>
      <c r="BK23" s="47" t="s">
        <v>3</v>
      </c>
      <c r="BL23" s="43" t="s">
        <v>21</v>
      </c>
      <c r="BM23" s="22" t="s">
        <v>11</v>
      </c>
      <c r="BN23" s="49" t="s">
        <v>8</v>
      </c>
      <c r="BO23" s="47" t="s">
        <v>3</v>
      </c>
      <c r="BP23" s="43" t="s">
        <v>21</v>
      </c>
      <c r="BQ23" s="22" t="s">
        <v>11</v>
      </c>
      <c r="BR23" s="49" t="s">
        <v>8</v>
      </c>
      <c r="BS23" s="47" t="s">
        <v>3</v>
      </c>
      <c r="BT23" s="43" t="s">
        <v>21</v>
      </c>
      <c r="BU23" s="22" t="s">
        <v>11</v>
      </c>
      <c r="BV23" s="180" t="s">
        <v>8</v>
      </c>
      <c r="BW23" s="181" t="s">
        <v>3</v>
      </c>
      <c r="BX23" s="182" t="s">
        <v>21</v>
      </c>
      <c r="BY23" s="183" t="s">
        <v>11</v>
      </c>
      <c r="BZ23" s="180" t="s">
        <v>8</v>
      </c>
      <c r="CA23" s="181" t="s">
        <v>3</v>
      </c>
      <c r="CB23" s="182" t="s">
        <v>21</v>
      </c>
      <c r="CC23" s="183" t="s">
        <v>11</v>
      </c>
    </row>
    <row r="24" spans="1:81" customFormat="1" x14ac:dyDescent="0.2">
      <c r="A24" s="89" t="s">
        <v>72</v>
      </c>
      <c r="B24" s="113">
        <v>2217000</v>
      </c>
      <c r="C24" s="114"/>
      <c r="D24" s="115"/>
      <c r="E24" s="116">
        <v>2217000</v>
      </c>
      <c r="F24" s="113">
        <v>2432000</v>
      </c>
      <c r="G24" s="114"/>
      <c r="H24" s="115"/>
      <c r="I24" s="116">
        <v>2432000</v>
      </c>
      <c r="J24" s="113">
        <v>4940000</v>
      </c>
      <c r="K24" s="114"/>
      <c r="L24" s="115"/>
      <c r="M24" s="116">
        <v>4940000</v>
      </c>
      <c r="N24" s="113">
        <v>4292000</v>
      </c>
      <c r="O24" s="114"/>
      <c r="P24" s="115"/>
      <c r="Q24" s="116">
        <v>4292000</v>
      </c>
      <c r="R24" s="113">
        <v>16500000</v>
      </c>
      <c r="S24" s="114"/>
      <c r="T24" s="115"/>
      <c r="U24" s="116">
        <f>R24+S24-T24</f>
        <v>16500000</v>
      </c>
      <c r="V24" s="113">
        <v>20476000</v>
      </c>
      <c r="W24" s="114"/>
      <c r="X24" s="115"/>
      <c r="Y24" s="116">
        <f>V24+W24-X24</f>
        <v>20476000</v>
      </c>
      <c r="Z24" s="113">
        <v>4880000</v>
      </c>
      <c r="AA24" s="114"/>
      <c r="AB24" s="115"/>
      <c r="AC24" s="116">
        <f>Z24+AA24-AB24</f>
        <v>4880000</v>
      </c>
      <c r="AD24" s="113">
        <v>5493966.3765822798</v>
      </c>
      <c r="AE24" s="114"/>
      <c r="AF24" s="115"/>
      <c r="AG24" s="116">
        <v>5496600.2768987399</v>
      </c>
      <c r="AH24" s="113">
        <v>6112000</v>
      </c>
      <c r="AI24" s="114"/>
      <c r="AJ24" s="115"/>
      <c r="AK24" s="116">
        <f>AH24+AI24</f>
        <v>6112000</v>
      </c>
      <c r="AL24" s="113">
        <v>8600000</v>
      </c>
      <c r="AM24" s="114"/>
      <c r="AN24" s="115"/>
      <c r="AO24" s="116">
        <v>8600000</v>
      </c>
      <c r="AP24" s="113">
        <v>6708000</v>
      </c>
      <c r="AQ24" s="114"/>
      <c r="AR24" s="115"/>
      <c r="AS24" s="116">
        <v>6708000</v>
      </c>
      <c r="AT24" s="113">
        <v>12196000</v>
      </c>
      <c r="AU24" s="114"/>
      <c r="AV24" s="115"/>
      <c r="AW24" s="116">
        <v>12196000</v>
      </c>
      <c r="AX24" s="113">
        <v>11500000</v>
      </c>
      <c r="AY24" s="114"/>
      <c r="AZ24" s="115"/>
      <c r="BA24" s="116">
        <v>11500000</v>
      </c>
      <c r="BB24" s="113">
        <v>16800000</v>
      </c>
      <c r="BC24" s="114"/>
      <c r="BD24" s="115"/>
      <c r="BE24" s="116">
        <f t="shared" ref="BE24" si="28">BB24+BC24</f>
        <v>16800000</v>
      </c>
      <c r="BF24" s="113">
        <v>18000000</v>
      </c>
      <c r="BG24" s="114"/>
      <c r="BH24" s="115"/>
      <c r="BI24" s="116">
        <v>18000000</v>
      </c>
      <c r="BJ24" s="113">
        <v>3044000</v>
      </c>
      <c r="BK24" s="114"/>
      <c r="BL24" s="115"/>
      <c r="BM24" s="116">
        <v>3044000</v>
      </c>
      <c r="BN24" s="113"/>
      <c r="BO24" s="114"/>
      <c r="BP24" s="115"/>
      <c r="BQ24" s="116"/>
      <c r="BR24" s="113"/>
      <c r="BS24" s="114"/>
      <c r="BT24" s="115"/>
      <c r="BU24" s="116"/>
      <c r="BV24" s="184"/>
      <c r="BW24" s="185"/>
      <c r="BX24" s="186"/>
      <c r="BY24" s="187"/>
      <c r="BZ24" s="184"/>
      <c r="CA24" s="185"/>
      <c r="CB24" s="186"/>
      <c r="CC24" s="187"/>
    </row>
    <row r="25" spans="1:81" customFormat="1" x14ac:dyDescent="0.2">
      <c r="A25" s="21">
        <v>45658</v>
      </c>
      <c r="B25" s="113"/>
      <c r="C25" s="114"/>
      <c r="D25" s="115">
        <v>1700000</v>
      </c>
      <c r="E25" s="116">
        <f>E24-D25</f>
        <v>517000</v>
      </c>
      <c r="F25" s="113"/>
      <c r="G25" s="114"/>
      <c r="H25" s="115">
        <v>620000</v>
      </c>
      <c r="I25" s="116">
        <f>I24-H25</f>
        <v>1812000</v>
      </c>
      <c r="J25" s="113"/>
      <c r="K25" s="114"/>
      <c r="L25" s="115"/>
      <c r="M25" s="116"/>
      <c r="N25" s="113">
        <v>4292000</v>
      </c>
      <c r="O25" s="114"/>
      <c r="P25" s="115">
        <v>600000</v>
      </c>
      <c r="Q25" s="116">
        <f>Q24-P25</f>
        <v>3692000</v>
      </c>
      <c r="R25" s="113"/>
      <c r="S25" s="114"/>
      <c r="T25" s="115"/>
      <c r="U25" s="116">
        <f t="shared" ref="U25:U27" si="29">U24-T25</f>
        <v>16500000</v>
      </c>
      <c r="V25" s="113"/>
      <c r="W25" s="114"/>
      <c r="X25" s="115"/>
      <c r="Y25" s="116">
        <f t="shared" ref="Y25:Y26" si="30">Y24-X25</f>
        <v>20476000</v>
      </c>
      <c r="Z25" s="113"/>
      <c r="AA25" s="114"/>
      <c r="AB25" s="115">
        <v>612000</v>
      </c>
      <c r="AC25" s="116">
        <f t="shared" ref="AC25:AC26" si="31">AC24-AB25</f>
        <v>4268000</v>
      </c>
      <c r="AD25" s="113"/>
      <c r="AE25" s="114"/>
      <c r="AF25" s="115">
        <v>612000</v>
      </c>
      <c r="AG25" s="116">
        <f t="shared" ref="AG25:AG28" si="32">AG24-AF25</f>
        <v>4884600.2768987399</v>
      </c>
      <c r="AH25" s="113"/>
      <c r="AI25" s="114"/>
      <c r="AJ25" s="115">
        <v>612000</v>
      </c>
      <c r="AK25" s="116">
        <f t="shared" ref="AK25:AK28" si="33">AK24-AJ25</f>
        <v>5500000</v>
      </c>
      <c r="AL25" s="113"/>
      <c r="AM25" s="114"/>
      <c r="AN25" s="115"/>
      <c r="AO25" s="116">
        <f>AO24-AN25</f>
        <v>8600000</v>
      </c>
      <c r="AP25" s="113"/>
      <c r="AQ25" s="114"/>
      <c r="AR25" s="115">
        <v>620000</v>
      </c>
      <c r="AS25" s="116">
        <f t="shared" ref="AS25:AS28" si="34">AS24-AR25</f>
        <v>6088000</v>
      </c>
      <c r="AT25" s="113"/>
      <c r="AU25" s="114"/>
      <c r="AV25" s="115">
        <v>712000</v>
      </c>
      <c r="AW25" s="116">
        <f t="shared" ref="AW25:AW26" si="35">AW24-AV25</f>
        <v>11484000</v>
      </c>
      <c r="AX25" s="113"/>
      <c r="AY25" s="114"/>
      <c r="AZ25" s="115"/>
      <c r="BA25" s="116">
        <f t="shared" ref="BA25" si="36">BA24-AZ25</f>
        <v>11500000</v>
      </c>
      <c r="BB25" s="113"/>
      <c r="BC25" s="114"/>
      <c r="BD25" s="115">
        <v>2600000</v>
      </c>
      <c r="BE25" s="116">
        <f t="shared" ref="BE25" si="37">BE24-BD25</f>
        <v>14200000</v>
      </c>
      <c r="BF25" s="113"/>
      <c r="BG25" s="114"/>
      <c r="BH25" s="115"/>
      <c r="BI25" s="116">
        <f t="shared" ref="BI25" si="38">BI24-BH25</f>
        <v>18000000</v>
      </c>
      <c r="BJ25" s="113"/>
      <c r="BK25" s="114"/>
      <c r="BL25" s="115"/>
      <c r="BM25" s="116">
        <f t="shared" ref="BM25" si="39">BM24-BL25</f>
        <v>3044000</v>
      </c>
      <c r="BN25" s="113">
        <v>13000000</v>
      </c>
      <c r="BO25" s="114">
        <v>1300000</v>
      </c>
      <c r="BP25" s="115"/>
      <c r="BQ25" s="116">
        <f>BN25+BO25-BP25</f>
        <v>14300000</v>
      </c>
      <c r="BR25" s="113"/>
      <c r="BS25" s="114"/>
      <c r="BT25" s="115"/>
      <c r="BU25" s="116"/>
      <c r="BV25" s="188"/>
      <c r="BW25" s="189"/>
      <c r="BX25" s="190"/>
      <c r="BY25" s="191"/>
      <c r="BZ25" s="188"/>
      <c r="CA25" s="189"/>
      <c r="CB25" s="190"/>
      <c r="CC25" s="191"/>
    </row>
    <row r="26" spans="1:81" x14ac:dyDescent="0.2">
      <c r="A26" s="21">
        <v>45689</v>
      </c>
      <c r="B26" s="113"/>
      <c r="C26" s="114"/>
      <c r="D26" s="115">
        <v>517000</v>
      </c>
      <c r="E26" s="116">
        <f>E25-D26</f>
        <v>0</v>
      </c>
      <c r="F26" s="113"/>
      <c r="G26" s="114"/>
      <c r="H26" s="115">
        <v>620000</v>
      </c>
      <c r="I26" s="116">
        <f>I25-H26</f>
        <v>1192000</v>
      </c>
      <c r="J26" s="113"/>
      <c r="K26" s="114"/>
      <c r="L26" s="115"/>
      <c r="M26" s="116"/>
      <c r="N26" s="113">
        <v>4292000</v>
      </c>
      <c r="O26" s="114"/>
      <c r="P26" s="115">
        <v>1200000</v>
      </c>
      <c r="Q26" s="116">
        <f>Q25-P26</f>
        <v>2492000</v>
      </c>
      <c r="R26" s="113"/>
      <c r="S26" s="114"/>
      <c r="T26" s="115">
        <v>2000000</v>
      </c>
      <c r="U26" s="116">
        <f t="shared" si="29"/>
        <v>14500000</v>
      </c>
      <c r="V26" s="113"/>
      <c r="W26" s="114"/>
      <c r="X26" s="115">
        <v>1862000</v>
      </c>
      <c r="Y26" s="116">
        <f t="shared" si="30"/>
        <v>18614000</v>
      </c>
      <c r="Z26" s="113"/>
      <c r="AA26" s="114"/>
      <c r="AB26" s="115">
        <v>612000</v>
      </c>
      <c r="AC26" s="116">
        <f t="shared" si="31"/>
        <v>3656000</v>
      </c>
      <c r="AD26" s="113"/>
      <c r="AE26" s="114"/>
      <c r="AF26" s="115">
        <v>612000</v>
      </c>
      <c r="AG26" s="116">
        <f t="shared" si="32"/>
        <v>4272600.2768987399</v>
      </c>
      <c r="AH26" s="113"/>
      <c r="AI26" s="114"/>
      <c r="AJ26" s="115">
        <v>600000</v>
      </c>
      <c r="AK26" s="116">
        <f t="shared" si="33"/>
        <v>4900000</v>
      </c>
      <c r="AL26" s="113"/>
      <c r="AM26" s="114"/>
      <c r="AN26" s="115"/>
      <c r="AO26" s="116">
        <f t="shared" ref="AO26:AO27" si="40">AO25-AN26</f>
        <v>8600000</v>
      </c>
      <c r="AP26" s="113"/>
      <c r="AQ26" s="114"/>
      <c r="AR26" s="115">
        <v>1000000</v>
      </c>
      <c r="AS26" s="116">
        <f t="shared" si="34"/>
        <v>5088000</v>
      </c>
      <c r="AT26" s="113"/>
      <c r="AU26" s="114"/>
      <c r="AV26" s="115">
        <v>717000</v>
      </c>
      <c r="AW26" s="116">
        <f t="shared" si="35"/>
        <v>10767000</v>
      </c>
      <c r="AX26" s="113"/>
      <c r="AY26" s="114"/>
      <c r="AZ26" s="115"/>
      <c r="BA26" s="116"/>
      <c r="BB26" s="113"/>
      <c r="BC26" s="114"/>
      <c r="BD26" s="115">
        <v>3000000</v>
      </c>
      <c r="BE26" s="116">
        <f>BE25-BD26</f>
        <v>11200000</v>
      </c>
      <c r="BF26" s="113"/>
      <c r="BG26" s="114"/>
      <c r="BH26" s="115"/>
      <c r="BI26" s="116"/>
      <c r="BJ26" s="113"/>
      <c r="BK26" s="114"/>
      <c r="BL26" s="115"/>
      <c r="BM26" s="116"/>
      <c r="BN26" s="113"/>
      <c r="BO26" s="114"/>
      <c r="BP26" s="115"/>
      <c r="BQ26" s="116"/>
      <c r="BR26" s="113">
        <v>22000000</v>
      </c>
      <c r="BS26" s="114">
        <v>2200000</v>
      </c>
      <c r="BT26" s="115"/>
      <c r="BU26" s="116">
        <f>BR26+BS26-BT26</f>
        <v>24200000</v>
      </c>
      <c r="BV26" s="188"/>
      <c r="BW26" s="189"/>
      <c r="BX26" s="190"/>
      <c r="BY26" s="191"/>
      <c r="BZ26" s="188"/>
      <c r="CA26" s="189"/>
      <c r="CB26" s="190"/>
      <c r="CC26" s="191"/>
    </row>
    <row r="27" spans="1:81" customFormat="1" x14ac:dyDescent="0.2">
      <c r="A27" s="21">
        <v>45717</v>
      </c>
      <c r="B27" s="113"/>
      <c r="C27" s="114"/>
      <c r="D27" s="115"/>
      <c r="E27" s="116"/>
      <c r="F27" s="113"/>
      <c r="G27" s="114"/>
      <c r="H27" s="115">
        <v>620000</v>
      </c>
      <c r="I27" s="116">
        <f>I26-H27</f>
        <v>572000</v>
      </c>
      <c r="J27" s="113"/>
      <c r="K27" s="114"/>
      <c r="L27" s="115"/>
      <c r="M27" s="116"/>
      <c r="N27" s="113">
        <v>4292000</v>
      </c>
      <c r="O27" s="114"/>
      <c r="P27" s="115">
        <v>2400000</v>
      </c>
      <c r="Q27" s="116">
        <f>Q26-P27</f>
        <v>92000</v>
      </c>
      <c r="R27" s="113"/>
      <c r="S27" s="114"/>
      <c r="T27" s="115">
        <v>1300000</v>
      </c>
      <c r="U27" s="116">
        <f t="shared" si="29"/>
        <v>13200000</v>
      </c>
      <c r="V27" s="113"/>
      <c r="W27" s="114"/>
      <c r="X27" s="115">
        <v>1862000</v>
      </c>
      <c r="Y27" s="116">
        <f>Y26-X27</f>
        <v>16752000</v>
      </c>
      <c r="Z27" s="113"/>
      <c r="AA27" s="114"/>
      <c r="AB27" s="115">
        <v>612000</v>
      </c>
      <c r="AC27" s="116">
        <f>AC26-AB27</f>
        <v>3044000</v>
      </c>
      <c r="AD27" s="113"/>
      <c r="AE27" s="114"/>
      <c r="AF27" s="115">
        <v>612000</v>
      </c>
      <c r="AG27" s="116">
        <f t="shared" si="32"/>
        <v>3660600.2768987399</v>
      </c>
      <c r="AH27" s="113"/>
      <c r="AI27" s="114"/>
      <c r="AJ27" s="115">
        <v>600000</v>
      </c>
      <c r="AK27" s="116">
        <f t="shared" si="33"/>
        <v>4300000</v>
      </c>
      <c r="AL27" s="113"/>
      <c r="AM27" s="114"/>
      <c r="AN27" s="115">
        <v>1000000</v>
      </c>
      <c r="AO27" s="116">
        <f t="shared" si="40"/>
        <v>7600000</v>
      </c>
      <c r="AP27" s="113"/>
      <c r="AQ27" s="114"/>
      <c r="AR27" s="115">
        <v>2000000</v>
      </c>
      <c r="AS27" s="116">
        <f t="shared" si="34"/>
        <v>3088000</v>
      </c>
      <c r="AT27" s="113"/>
      <c r="AU27" s="114"/>
      <c r="AV27" s="115"/>
      <c r="AW27" s="116"/>
      <c r="AX27" s="113"/>
      <c r="AY27" s="114"/>
      <c r="AZ27" s="115"/>
      <c r="BA27" s="116"/>
      <c r="BB27" s="113"/>
      <c r="BC27" s="114"/>
      <c r="BD27" s="115"/>
      <c r="BE27" s="116"/>
      <c r="BF27" s="113"/>
      <c r="BG27" s="114"/>
      <c r="BH27" s="115"/>
      <c r="BI27" s="116"/>
      <c r="BJ27" s="113"/>
      <c r="BK27" s="114"/>
      <c r="BL27" s="115"/>
      <c r="BM27" s="116"/>
      <c r="BN27" s="113"/>
      <c r="BO27" s="114"/>
      <c r="BP27" s="115"/>
      <c r="BQ27" s="116"/>
      <c r="BR27" s="113"/>
      <c r="BS27" s="114"/>
      <c r="BT27" s="115"/>
      <c r="BU27" s="116"/>
      <c r="BV27" s="188">
        <v>20000000</v>
      </c>
      <c r="BW27" s="189">
        <v>2000000</v>
      </c>
      <c r="BX27" s="190"/>
      <c r="BY27" s="191">
        <f>BV27+BW27</f>
        <v>22000000</v>
      </c>
      <c r="BZ27" s="188"/>
      <c r="CA27" s="189"/>
      <c r="CB27" s="190"/>
      <c r="CC27" s="191"/>
    </row>
    <row r="28" spans="1:81" customFormat="1" x14ac:dyDescent="0.2">
      <c r="A28" s="21">
        <v>45748</v>
      </c>
      <c r="B28" s="113"/>
      <c r="C28" s="114"/>
      <c r="D28" s="115"/>
      <c r="E28" s="116"/>
      <c r="F28" s="113"/>
      <c r="G28" s="114"/>
      <c r="H28" s="115">
        <v>572000</v>
      </c>
      <c r="I28" s="116">
        <f>I27-H28</f>
        <v>0</v>
      </c>
      <c r="J28" s="113"/>
      <c r="K28" s="114"/>
      <c r="L28" s="115"/>
      <c r="M28" s="116">
        <v>612000</v>
      </c>
      <c r="N28" s="113">
        <f>N27-M28</f>
        <v>3680000</v>
      </c>
      <c r="O28" s="114"/>
      <c r="P28" s="115"/>
      <c r="Q28" s="116"/>
      <c r="R28" s="113"/>
      <c r="S28" s="114"/>
      <c r="T28" s="115">
        <v>1500000</v>
      </c>
      <c r="U28" s="116">
        <f>U27-T28</f>
        <v>11700000</v>
      </c>
      <c r="V28" s="113"/>
      <c r="W28" s="114"/>
      <c r="X28" s="115">
        <v>1862000</v>
      </c>
      <c r="Y28" s="116">
        <f>Y27-X28</f>
        <v>14890000</v>
      </c>
      <c r="Z28" s="113"/>
      <c r="AA28" s="114"/>
      <c r="AB28" s="115">
        <v>612000</v>
      </c>
      <c r="AC28" s="116">
        <f>AC27-AB28</f>
        <v>2432000</v>
      </c>
      <c r="AD28" s="113"/>
      <c r="AE28" s="114"/>
      <c r="AF28" s="115">
        <v>612000</v>
      </c>
      <c r="AG28" s="116">
        <f t="shared" si="32"/>
        <v>3048600.2768987399</v>
      </c>
      <c r="AH28" s="113"/>
      <c r="AI28" s="114"/>
      <c r="AJ28" s="115">
        <v>612000</v>
      </c>
      <c r="AK28" s="116">
        <f t="shared" si="33"/>
        <v>3688000</v>
      </c>
      <c r="AL28" s="113"/>
      <c r="AM28" s="114"/>
      <c r="AN28" s="115"/>
      <c r="AO28" s="116"/>
      <c r="AP28" s="113"/>
      <c r="AQ28" s="114"/>
      <c r="AR28" s="115">
        <v>3088000</v>
      </c>
      <c r="AS28" s="116">
        <f t="shared" si="34"/>
        <v>0</v>
      </c>
      <c r="AT28" s="113"/>
      <c r="AU28" s="114"/>
      <c r="AV28" s="115"/>
      <c r="AW28" s="116"/>
      <c r="AX28" s="113"/>
      <c r="AY28" s="114"/>
      <c r="AZ28" s="115"/>
      <c r="BA28" s="116"/>
      <c r="BB28" s="113"/>
      <c r="BC28" s="114"/>
      <c r="BD28" s="115"/>
      <c r="BE28" s="116"/>
      <c r="BF28" s="113"/>
      <c r="BG28" s="114"/>
      <c r="BH28" s="115"/>
      <c r="BI28" s="116"/>
      <c r="BJ28" s="113"/>
      <c r="BK28" s="114"/>
      <c r="BL28" s="115"/>
      <c r="BM28" s="116"/>
      <c r="BN28" s="113"/>
      <c r="BO28" s="114"/>
      <c r="BP28" s="115"/>
      <c r="BQ28" s="116"/>
      <c r="BR28" s="113"/>
      <c r="BS28" s="114"/>
      <c r="BT28" s="115"/>
      <c r="BU28" s="116"/>
      <c r="BV28" s="188"/>
      <c r="BW28" s="189"/>
      <c r="BX28" s="190">
        <v>2750000</v>
      </c>
      <c r="BY28" s="191">
        <f>BY27-BX28</f>
        <v>19250000</v>
      </c>
      <c r="BZ28" s="188">
        <v>16500000</v>
      </c>
      <c r="CA28" s="189">
        <v>1650000</v>
      </c>
      <c r="CB28" s="190"/>
      <c r="CC28" s="191">
        <f>BZ28+CA28-CB28</f>
        <v>18150000</v>
      </c>
    </row>
    <row r="29" spans="1:81" customFormat="1" x14ac:dyDescent="0.2">
      <c r="A29" s="21">
        <v>45778</v>
      </c>
      <c r="B29" s="113"/>
      <c r="C29" s="114"/>
      <c r="D29" s="115"/>
      <c r="E29" s="116"/>
      <c r="F29" s="113"/>
      <c r="G29" s="114"/>
      <c r="H29" s="115"/>
      <c r="I29" s="116"/>
      <c r="J29" s="113"/>
      <c r="K29" s="114"/>
      <c r="L29" s="115"/>
      <c r="M29" s="116"/>
      <c r="N29" s="113"/>
      <c r="O29" s="114"/>
      <c r="P29" s="115"/>
      <c r="Q29" s="116"/>
      <c r="R29" s="113"/>
      <c r="S29" s="114"/>
      <c r="T29" s="115"/>
      <c r="U29" s="116"/>
      <c r="V29" s="113"/>
      <c r="W29" s="114"/>
      <c r="X29" s="115">
        <v>1862000</v>
      </c>
      <c r="Y29" s="116">
        <f>Y28-X29</f>
        <v>13028000</v>
      </c>
      <c r="Z29" s="113"/>
      <c r="AA29" s="114"/>
      <c r="AB29" s="115"/>
      <c r="AC29" s="116"/>
      <c r="AD29" s="113"/>
      <c r="AE29" s="114"/>
      <c r="AF29" s="115"/>
      <c r="AG29" s="116"/>
      <c r="AH29" s="113"/>
      <c r="AI29" s="114"/>
      <c r="AJ29" s="115"/>
      <c r="AK29" s="116"/>
      <c r="AL29" s="113"/>
      <c r="AM29" s="114"/>
      <c r="AN29" s="115"/>
      <c r="AO29" s="116"/>
      <c r="AP29" s="113"/>
      <c r="AQ29" s="114"/>
      <c r="AR29" s="115"/>
      <c r="AS29" s="116"/>
      <c r="AT29" s="113"/>
      <c r="AU29" s="114"/>
      <c r="AV29" s="115"/>
      <c r="AW29" s="116"/>
      <c r="AX29" s="113"/>
      <c r="AY29" s="114"/>
      <c r="AZ29" s="115"/>
      <c r="BA29" s="116"/>
      <c r="BB29" s="113"/>
      <c r="BC29" s="114"/>
      <c r="BD29" s="115"/>
      <c r="BE29" s="116"/>
      <c r="BF29" s="113"/>
      <c r="BG29" s="114"/>
      <c r="BH29" s="115"/>
      <c r="BI29" s="116"/>
      <c r="BJ29" s="113"/>
      <c r="BK29" s="114"/>
      <c r="BL29" s="115"/>
      <c r="BM29" s="116"/>
      <c r="BN29" s="113"/>
      <c r="BO29" s="114"/>
      <c r="BP29" s="115"/>
      <c r="BQ29" s="116"/>
      <c r="BR29" s="113"/>
      <c r="BS29" s="114"/>
      <c r="BT29" s="115"/>
      <c r="BU29" s="116"/>
      <c r="BV29" s="188"/>
      <c r="BW29" s="189"/>
      <c r="BX29" s="190">
        <v>2450000</v>
      </c>
      <c r="BY29" s="191">
        <f>BY28-BX29</f>
        <v>16800000</v>
      </c>
      <c r="BZ29" s="188"/>
      <c r="CA29" s="189"/>
      <c r="CB29" s="33">
        <v>1250000</v>
      </c>
      <c r="CC29" s="191">
        <f>CC28-CB29</f>
        <v>16900000</v>
      </c>
    </row>
    <row r="30" spans="1:81" customFormat="1" x14ac:dyDescent="0.2">
      <c r="A30" s="21">
        <v>45809</v>
      </c>
      <c r="B30" s="113"/>
      <c r="C30" s="114"/>
      <c r="D30" s="115"/>
      <c r="E30" s="116"/>
      <c r="F30" s="113"/>
      <c r="G30" s="114"/>
      <c r="H30" s="115"/>
      <c r="I30" s="116"/>
      <c r="J30" s="113"/>
      <c r="K30" s="114"/>
      <c r="L30" s="115"/>
      <c r="M30" s="116"/>
      <c r="N30" s="113"/>
      <c r="O30" s="114"/>
      <c r="P30" s="115"/>
      <c r="Q30" s="116"/>
      <c r="R30" s="113"/>
      <c r="S30" s="114"/>
      <c r="T30" s="115"/>
      <c r="U30" s="116"/>
      <c r="V30" s="113"/>
      <c r="W30" s="114"/>
      <c r="X30" s="115"/>
      <c r="Y30" s="116"/>
      <c r="Z30" s="113"/>
      <c r="AA30" s="114"/>
      <c r="AB30" s="115"/>
      <c r="AC30" s="116"/>
      <c r="AD30" s="113"/>
      <c r="AE30" s="114"/>
      <c r="AF30" s="115"/>
      <c r="AG30" s="116"/>
      <c r="AH30" s="113"/>
      <c r="AI30" s="114"/>
      <c r="AJ30" s="115"/>
      <c r="AK30" s="116"/>
      <c r="AL30" s="113"/>
      <c r="AM30" s="114"/>
      <c r="AN30" s="115"/>
      <c r="AO30" s="116"/>
      <c r="AP30" s="113"/>
      <c r="AQ30" s="114"/>
      <c r="AR30" s="115"/>
      <c r="AS30" s="116"/>
      <c r="AT30" s="113"/>
      <c r="AU30" s="114"/>
      <c r="AV30" s="115"/>
      <c r="AW30" s="116"/>
      <c r="AX30" s="113"/>
      <c r="AY30" s="114"/>
      <c r="AZ30" s="115"/>
      <c r="BA30" s="116"/>
      <c r="BB30" s="113"/>
      <c r="BC30" s="114"/>
      <c r="BD30" s="115"/>
      <c r="BE30" s="116"/>
      <c r="BF30" s="113"/>
      <c r="BG30" s="114"/>
      <c r="BH30" s="115"/>
      <c r="BI30" s="116"/>
      <c r="BJ30" s="113"/>
      <c r="BK30" s="114"/>
      <c r="BL30" s="115"/>
      <c r="BM30" s="116"/>
      <c r="BN30" s="113"/>
      <c r="BO30" s="114"/>
      <c r="BP30" s="115"/>
      <c r="BQ30" s="116"/>
      <c r="BR30" s="113"/>
      <c r="BS30" s="114"/>
      <c r="BT30" s="115"/>
      <c r="BU30" s="116"/>
      <c r="BV30" s="188"/>
      <c r="BW30" s="189"/>
      <c r="BX30" s="190"/>
      <c r="BY30" s="191"/>
      <c r="BZ30" s="188"/>
      <c r="CA30" s="189"/>
      <c r="CB30" s="190"/>
      <c r="CC30" s="191"/>
    </row>
    <row r="31" spans="1:81" customFormat="1" x14ac:dyDescent="0.2">
      <c r="A31" s="21">
        <v>45839</v>
      </c>
      <c r="B31" s="113"/>
      <c r="C31" s="114"/>
      <c r="D31" s="115"/>
      <c r="E31" s="116"/>
      <c r="F31" s="113"/>
      <c r="G31" s="114"/>
      <c r="H31" s="115"/>
      <c r="I31" s="116"/>
      <c r="J31" s="113"/>
      <c r="K31" s="114"/>
      <c r="L31" s="115"/>
      <c r="M31" s="116"/>
      <c r="N31" s="113"/>
      <c r="O31" s="114"/>
      <c r="P31" s="115"/>
      <c r="Q31" s="116"/>
      <c r="R31" s="113"/>
      <c r="S31" s="114"/>
      <c r="T31" s="115"/>
      <c r="U31" s="116"/>
      <c r="V31" s="113"/>
      <c r="W31" s="114"/>
      <c r="X31" s="115"/>
      <c r="Y31" s="116"/>
      <c r="Z31" s="113"/>
      <c r="AA31" s="114"/>
      <c r="AB31" s="115"/>
      <c r="AC31" s="116"/>
      <c r="AD31" s="113"/>
      <c r="AE31" s="114"/>
      <c r="AF31" s="115"/>
      <c r="AG31" s="116"/>
      <c r="AH31" s="113"/>
      <c r="AI31" s="114"/>
      <c r="AJ31" s="115"/>
      <c r="AK31" s="116"/>
      <c r="AL31" s="113"/>
      <c r="AM31" s="114"/>
      <c r="AN31" s="115"/>
      <c r="AO31" s="116"/>
      <c r="AP31" s="113"/>
      <c r="AQ31" s="114"/>
      <c r="AR31" s="115"/>
      <c r="AS31" s="116"/>
      <c r="AT31" s="113"/>
      <c r="AU31" s="114"/>
      <c r="AV31" s="115"/>
      <c r="AW31" s="116"/>
      <c r="AX31" s="113"/>
      <c r="AY31" s="114"/>
      <c r="AZ31" s="115"/>
      <c r="BA31" s="116"/>
      <c r="BB31" s="113"/>
      <c r="BC31" s="114"/>
      <c r="BD31" s="115"/>
      <c r="BE31" s="116"/>
      <c r="BF31" s="113"/>
      <c r="BG31" s="114"/>
      <c r="BH31" s="115"/>
      <c r="BI31" s="116"/>
      <c r="BJ31" s="113"/>
      <c r="BK31" s="114"/>
      <c r="BL31" s="115"/>
      <c r="BM31" s="116"/>
      <c r="BN31" s="113"/>
      <c r="BO31" s="114"/>
      <c r="BP31" s="115"/>
      <c r="BQ31" s="116"/>
      <c r="BR31" s="113"/>
      <c r="BS31" s="114"/>
      <c r="BT31" s="115"/>
      <c r="BU31" s="116"/>
      <c r="BV31" s="188"/>
      <c r="BW31" s="189"/>
      <c r="BX31" s="190"/>
      <c r="BY31" s="191"/>
      <c r="BZ31" s="188"/>
      <c r="CA31" s="189"/>
      <c r="CB31" s="190"/>
      <c r="CC31" s="191"/>
    </row>
    <row r="32" spans="1:81" customFormat="1" x14ac:dyDescent="0.2">
      <c r="A32" s="21">
        <v>45870</v>
      </c>
      <c r="B32" s="113"/>
      <c r="C32" s="114"/>
      <c r="D32" s="115"/>
      <c r="E32" s="116"/>
      <c r="F32" s="113"/>
      <c r="G32" s="114"/>
      <c r="H32" s="115"/>
      <c r="I32" s="116"/>
      <c r="J32" s="113"/>
      <c r="K32" s="114"/>
      <c r="L32" s="115"/>
      <c r="M32" s="116"/>
      <c r="N32" s="113"/>
      <c r="O32" s="114"/>
      <c r="P32" s="115"/>
      <c r="Q32" s="116"/>
      <c r="R32" s="113"/>
      <c r="S32" s="114"/>
      <c r="T32" s="115"/>
      <c r="U32" s="116"/>
      <c r="V32" s="113"/>
      <c r="W32" s="114"/>
      <c r="X32" s="115"/>
      <c r="Y32" s="116"/>
      <c r="Z32" s="113"/>
      <c r="AA32" s="114"/>
      <c r="AB32" s="115"/>
      <c r="AC32" s="116"/>
      <c r="AD32" s="113"/>
      <c r="AE32" s="114"/>
      <c r="AF32" s="115"/>
      <c r="AG32" s="116"/>
      <c r="AH32" s="113"/>
      <c r="AI32" s="114"/>
      <c r="AJ32" s="115"/>
      <c r="AK32" s="116"/>
      <c r="AL32" s="113"/>
      <c r="AM32" s="114"/>
      <c r="AN32" s="115"/>
      <c r="AO32" s="116"/>
      <c r="AP32" s="113"/>
      <c r="AQ32" s="114"/>
      <c r="AR32" s="115"/>
      <c r="AS32" s="116"/>
      <c r="AT32" s="113"/>
      <c r="AU32" s="114"/>
      <c r="AV32" s="115"/>
      <c r="AW32" s="116"/>
      <c r="AX32" s="113"/>
      <c r="AY32" s="114"/>
      <c r="AZ32" s="115"/>
      <c r="BA32" s="116"/>
      <c r="BB32" s="113"/>
      <c r="BC32" s="114"/>
      <c r="BD32" s="115"/>
      <c r="BE32" s="116"/>
      <c r="BF32" s="113"/>
      <c r="BG32" s="114"/>
      <c r="BH32" s="115"/>
      <c r="BI32" s="116"/>
      <c r="BJ32" s="113"/>
      <c r="BK32" s="114"/>
      <c r="BL32" s="115"/>
      <c r="BM32" s="116"/>
      <c r="BN32" s="113"/>
      <c r="BO32" s="114"/>
      <c r="BP32" s="115"/>
      <c r="BQ32" s="116"/>
      <c r="BR32" s="113"/>
      <c r="BS32" s="114"/>
      <c r="BT32" s="115"/>
      <c r="BU32" s="116"/>
      <c r="BV32" s="188"/>
      <c r="BW32" s="189"/>
      <c r="BX32" s="190"/>
      <c r="BY32" s="191"/>
      <c r="BZ32" s="188"/>
      <c r="CA32" s="189"/>
      <c r="CB32" s="190"/>
      <c r="CC32" s="191"/>
    </row>
    <row r="33" spans="1:81" customFormat="1" x14ac:dyDescent="0.2">
      <c r="A33" s="21">
        <v>45901</v>
      </c>
      <c r="B33" s="113"/>
      <c r="C33" s="114"/>
      <c r="D33" s="115"/>
      <c r="E33" s="116"/>
      <c r="F33" s="113"/>
      <c r="G33" s="114"/>
      <c r="H33" s="115"/>
      <c r="I33" s="116"/>
      <c r="J33" s="113"/>
      <c r="K33" s="114"/>
      <c r="L33" s="117"/>
      <c r="M33" s="116"/>
      <c r="N33" s="113"/>
      <c r="O33" s="114"/>
      <c r="P33" s="115"/>
      <c r="Q33" s="116"/>
      <c r="R33" s="113"/>
      <c r="S33" s="114"/>
      <c r="T33" s="115"/>
      <c r="U33" s="116"/>
      <c r="V33" s="113"/>
      <c r="W33" s="114"/>
      <c r="X33" s="115"/>
      <c r="Y33" s="116"/>
      <c r="Z33" s="113"/>
      <c r="AA33" s="114"/>
      <c r="AB33" s="117"/>
      <c r="AC33" s="116"/>
      <c r="AD33" s="113"/>
      <c r="AE33" s="114"/>
      <c r="AF33" s="115"/>
      <c r="AG33" s="116"/>
      <c r="AH33" s="113"/>
      <c r="AI33" s="114"/>
      <c r="AJ33" s="115"/>
      <c r="AK33" s="116"/>
      <c r="AL33" s="113"/>
      <c r="AM33" s="114"/>
      <c r="AN33" s="115"/>
      <c r="AO33" s="116"/>
      <c r="AP33" s="113"/>
      <c r="AQ33" s="114"/>
      <c r="AR33" s="115"/>
      <c r="AS33" s="116"/>
      <c r="AT33" s="113"/>
      <c r="AU33" s="114"/>
      <c r="AV33" s="117"/>
      <c r="AW33" s="116"/>
      <c r="AX33" s="113"/>
      <c r="AY33" s="114"/>
      <c r="AZ33" s="115"/>
      <c r="BA33" s="116"/>
      <c r="BB33" s="113"/>
      <c r="BC33" s="114"/>
      <c r="BD33" s="115"/>
      <c r="BE33" s="116"/>
      <c r="BF33" s="113"/>
      <c r="BG33" s="114"/>
      <c r="BH33" s="115"/>
      <c r="BI33" s="116"/>
      <c r="BJ33" s="113"/>
      <c r="BK33" s="114"/>
      <c r="BL33" s="115"/>
      <c r="BM33" s="116"/>
      <c r="BN33" s="113"/>
      <c r="BO33" s="114"/>
      <c r="BP33" s="115"/>
      <c r="BQ33" s="116"/>
      <c r="BR33" s="113"/>
      <c r="BS33" s="114"/>
      <c r="BT33" s="115"/>
      <c r="BU33" s="116"/>
      <c r="BV33" s="188"/>
      <c r="BW33" s="189"/>
      <c r="BX33" s="190"/>
      <c r="BY33" s="191"/>
      <c r="BZ33" s="188"/>
      <c r="CA33" s="189"/>
      <c r="CB33" s="190"/>
      <c r="CC33" s="191"/>
    </row>
    <row r="34" spans="1:81" customFormat="1" x14ac:dyDescent="0.2">
      <c r="A34" s="21">
        <v>45931</v>
      </c>
      <c r="B34" s="113"/>
      <c r="C34" s="114"/>
      <c r="D34" s="115"/>
      <c r="E34" s="116"/>
      <c r="F34" s="113"/>
      <c r="G34" s="114"/>
      <c r="H34" s="115"/>
      <c r="I34" s="116"/>
      <c r="J34" s="113"/>
      <c r="K34" s="114"/>
      <c r="L34" s="115"/>
      <c r="M34" s="116"/>
      <c r="N34" s="113"/>
      <c r="O34" s="114"/>
      <c r="P34" s="115"/>
      <c r="Q34" s="116"/>
      <c r="R34" s="113"/>
      <c r="S34" s="114"/>
      <c r="T34" s="115"/>
      <c r="U34" s="116"/>
      <c r="V34" s="113"/>
      <c r="W34" s="114"/>
      <c r="X34" s="115"/>
      <c r="Y34" s="116"/>
      <c r="Z34" s="113"/>
      <c r="AA34" s="114"/>
      <c r="AB34" s="115"/>
      <c r="AC34" s="116"/>
      <c r="AD34" s="113"/>
      <c r="AE34" s="114"/>
      <c r="AF34" s="115"/>
      <c r="AG34" s="116"/>
      <c r="AH34" s="113"/>
      <c r="AI34" s="114"/>
      <c r="AJ34" s="115"/>
      <c r="AK34" s="116"/>
      <c r="AL34" s="113"/>
      <c r="AM34" s="114"/>
      <c r="AN34" s="115"/>
      <c r="AO34" s="116"/>
      <c r="AP34" s="113"/>
      <c r="AQ34" s="114"/>
      <c r="AR34" s="115"/>
      <c r="AS34" s="116"/>
      <c r="AT34" s="113"/>
      <c r="AU34" s="114"/>
      <c r="AV34" s="115"/>
      <c r="AW34" s="116"/>
      <c r="AX34" s="113"/>
      <c r="AY34" s="114"/>
      <c r="AZ34" s="115"/>
      <c r="BA34" s="116"/>
      <c r="BB34" s="113"/>
      <c r="BC34" s="114"/>
      <c r="BD34" s="115"/>
      <c r="BE34" s="116"/>
      <c r="BF34" s="113"/>
      <c r="BG34" s="114"/>
      <c r="BH34" s="115"/>
      <c r="BI34" s="116"/>
      <c r="BJ34" s="113"/>
      <c r="BK34" s="114"/>
      <c r="BL34" s="115"/>
      <c r="BM34" s="116"/>
      <c r="BN34" s="113"/>
      <c r="BO34" s="114"/>
      <c r="BP34" s="115"/>
      <c r="BQ34" s="116"/>
      <c r="BR34" s="113"/>
      <c r="BS34" s="114"/>
      <c r="BT34" s="115"/>
      <c r="BU34" s="116"/>
      <c r="BV34" s="188"/>
      <c r="BW34" s="189"/>
      <c r="BX34" s="190"/>
      <c r="BY34" s="191"/>
      <c r="BZ34" s="188"/>
      <c r="CA34" s="189"/>
      <c r="CB34" s="190"/>
      <c r="CC34" s="191"/>
    </row>
    <row r="35" spans="1:81" customFormat="1" x14ac:dyDescent="0.2">
      <c r="A35" s="21">
        <v>45962</v>
      </c>
      <c r="B35" s="118"/>
      <c r="C35" s="119"/>
      <c r="D35" s="120"/>
      <c r="E35" s="121"/>
      <c r="F35" s="118"/>
      <c r="G35" s="119"/>
      <c r="H35" s="120"/>
      <c r="I35" s="121"/>
      <c r="J35" s="118"/>
      <c r="K35" s="119"/>
      <c r="L35" s="120"/>
      <c r="M35" s="121"/>
      <c r="N35" s="118"/>
      <c r="O35" s="119"/>
      <c r="P35" s="120"/>
      <c r="Q35" s="121"/>
      <c r="R35" s="118"/>
      <c r="S35" s="119"/>
      <c r="T35" s="120"/>
      <c r="U35" s="121"/>
      <c r="V35" s="118"/>
      <c r="W35" s="119"/>
      <c r="X35" s="120"/>
      <c r="Y35" s="121"/>
      <c r="Z35" s="118"/>
      <c r="AA35" s="119"/>
      <c r="AB35" s="120"/>
      <c r="AC35" s="121"/>
      <c r="AD35" s="118"/>
      <c r="AE35" s="119"/>
      <c r="AF35" s="120"/>
      <c r="AG35" s="121"/>
      <c r="AH35" s="118"/>
      <c r="AI35" s="119"/>
      <c r="AJ35" s="120"/>
      <c r="AK35" s="121"/>
      <c r="AL35" s="118"/>
      <c r="AM35" s="119"/>
      <c r="AN35" s="120"/>
      <c r="AO35" s="121"/>
      <c r="AP35" s="118"/>
      <c r="AQ35" s="119"/>
      <c r="AR35" s="120"/>
      <c r="AS35" s="121"/>
      <c r="AT35" s="118"/>
      <c r="AU35" s="119"/>
      <c r="AV35" s="120"/>
      <c r="AW35" s="121"/>
      <c r="AX35" s="118"/>
      <c r="AY35" s="119"/>
      <c r="AZ35" s="120"/>
      <c r="BA35" s="121"/>
      <c r="BB35" s="118"/>
      <c r="BC35" s="119"/>
      <c r="BD35" s="120"/>
      <c r="BE35" s="121"/>
      <c r="BF35" s="118"/>
      <c r="BG35" s="119"/>
      <c r="BH35" s="120"/>
      <c r="BI35" s="121"/>
      <c r="BJ35" s="118"/>
      <c r="BK35" s="119"/>
      <c r="BL35" s="120"/>
      <c r="BM35" s="121"/>
      <c r="BN35" s="118"/>
      <c r="BO35" s="119"/>
      <c r="BP35" s="120"/>
      <c r="BQ35" s="121"/>
      <c r="BR35" s="118"/>
      <c r="BS35" s="119"/>
      <c r="BT35" s="120"/>
      <c r="BU35" s="121"/>
      <c r="BV35" s="192"/>
      <c r="BW35" s="193"/>
      <c r="BX35" s="194"/>
      <c r="BY35" s="195"/>
      <c r="BZ35" s="192"/>
      <c r="CA35" s="193"/>
      <c r="CB35" s="194"/>
      <c r="CC35" s="195"/>
    </row>
    <row r="36" spans="1:81" customFormat="1" x14ac:dyDescent="0.2">
      <c r="A36" s="21">
        <v>45992</v>
      </c>
      <c r="B36" s="113"/>
      <c r="C36" s="114"/>
      <c r="D36" s="115"/>
      <c r="E36" s="116"/>
      <c r="F36" s="113"/>
      <c r="G36" s="114"/>
      <c r="H36" s="115"/>
      <c r="I36" s="121"/>
      <c r="J36" s="113"/>
      <c r="K36" s="114"/>
      <c r="L36" s="115"/>
      <c r="M36" s="116"/>
      <c r="N36" s="113"/>
      <c r="O36" s="114"/>
      <c r="P36" s="115"/>
      <c r="Q36" s="116"/>
      <c r="R36" s="113"/>
      <c r="S36" s="114"/>
      <c r="T36" s="115"/>
      <c r="U36" s="116"/>
      <c r="V36" s="113"/>
      <c r="W36" s="114"/>
      <c r="X36" s="115"/>
      <c r="Y36" s="121"/>
      <c r="Z36" s="113"/>
      <c r="AA36" s="114"/>
      <c r="AB36" s="115"/>
      <c r="AC36" s="116"/>
      <c r="AD36" s="113"/>
      <c r="AE36" s="114"/>
      <c r="AF36" s="115"/>
      <c r="AG36" s="116"/>
      <c r="AH36" s="113"/>
      <c r="AI36" s="114"/>
      <c r="AJ36" s="115"/>
      <c r="AK36" s="116"/>
      <c r="AL36" s="113"/>
      <c r="AM36" s="114"/>
      <c r="AN36" s="115"/>
      <c r="AO36" s="116"/>
      <c r="AP36" s="113"/>
      <c r="AQ36" s="114"/>
      <c r="AR36" s="115"/>
      <c r="AS36" s="121"/>
      <c r="AT36" s="113"/>
      <c r="AU36" s="114"/>
      <c r="AV36" s="115"/>
      <c r="AW36" s="116"/>
      <c r="AX36" s="113"/>
      <c r="AY36" s="114"/>
      <c r="AZ36" s="115"/>
      <c r="BA36" s="116"/>
      <c r="BB36" s="113"/>
      <c r="BC36" s="114"/>
      <c r="BD36" s="115"/>
      <c r="BE36" s="116"/>
      <c r="BF36" s="113"/>
      <c r="BG36" s="114"/>
      <c r="BH36" s="115"/>
      <c r="BI36" s="116"/>
      <c r="BJ36" s="113"/>
      <c r="BK36" s="114"/>
      <c r="BL36" s="115"/>
      <c r="BM36" s="121"/>
      <c r="BN36" s="113"/>
      <c r="BO36" s="114"/>
      <c r="BP36" s="115"/>
      <c r="BQ36" s="121"/>
      <c r="BR36" s="113"/>
      <c r="BS36" s="114"/>
      <c r="BT36" s="115"/>
      <c r="BU36" s="121"/>
      <c r="BV36" s="184"/>
      <c r="BW36" s="185"/>
      <c r="BX36" s="186"/>
      <c r="BY36" s="196"/>
      <c r="BZ36" s="184"/>
      <c r="CA36" s="185"/>
      <c r="CB36" s="186"/>
      <c r="CC36" s="196"/>
    </row>
    <row r="37" spans="1:81" s="48" customFormat="1" x14ac:dyDescent="0.2">
      <c r="A37" s="56" t="s">
        <v>9</v>
      </c>
      <c r="B37" s="122">
        <f>SUM(B24:B35)</f>
        <v>2217000</v>
      </c>
      <c r="C37" s="123">
        <f>SUM(C24:C35)</f>
        <v>0</v>
      </c>
      <c r="D37" s="124">
        <f>SUM(D24:D35)</f>
        <v>2217000</v>
      </c>
      <c r="E37" s="125"/>
      <c r="F37" s="122">
        <f>SUM(F24:F35)</f>
        <v>2432000</v>
      </c>
      <c r="G37" s="123">
        <f>SUM(G24:G35)</f>
        <v>0</v>
      </c>
      <c r="H37" s="124">
        <f>SUM(H24:H36)</f>
        <v>2432000</v>
      </c>
      <c r="I37" s="125"/>
      <c r="J37" s="122">
        <f>SUM(J24:J35)</f>
        <v>4940000</v>
      </c>
      <c r="K37" s="123">
        <f>SUM(K24:K35)</f>
        <v>0</v>
      </c>
      <c r="L37" s="124">
        <f>SUM(L24:L35)</f>
        <v>0</v>
      </c>
      <c r="M37" s="125"/>
      <c r="N37" s="122">
        <f>SUM(N24:N35)</f>
        <v>20848000</v>
      </c>
      <c r="O37" s="123">
        <f>SUM(O24:O35)</f>
        <v>0</v>
      </c>
      <c r="P37" s="124">
        <f>SUM(P24:P35)</f>
        <v>4200000</v>
      </c>
      <c r="Q37" s="125"/>
      <c r="R37" s="122">
        <f t="shared" ref="R37:T37" si="41">SUM(R24:R35)</f>
        <v>16500000</v>
      </c>
      <c r="S37" s="123">
        <f t="shared" si="41"/>
        <v>0</v>
      </c>
      <c r="T37" s="124">
        <f t="shared" si="41"/>
        <v>4800000</v>
      </c>
      <c r="U37" s="125"/>
      <c r="V37" s="122">
        <f t="shared" ref="V37:W37" si="42">SUM(V24:V35)</f>
        <v>20476000</v>
      </c>
      <c r="W37" s="123">
        <f t="shared" si="42"/>
        <v>0</v>
      </c>
      <c r="X37" s="124">
        <f t="shared" ref="X37" si="43">SUM(X24:X36)</f>
        <v>7448000</v>
      </c>
      <c r="Y37" s="125"/>
      <c r="Z37" s="122">
        <f t="shared" ref="Z37:AB37" si="44">SUM(Z24:Z35)</f>
        <v>4880000</v>
      </c>
      <c r="AA37" s="123">
        <f t="shared" si="44"/>
        <v>0</v>
      </c>
      <c r="AB37" s="124">
        <f t="shared" si="44"/>
        <v>2448000</v>
      </c>
      <c r="AC37" s="125"/>
      <c r="AD37" s="122">
        <f t="shared" ref="AD37:AF37" si="45">SUM(AD24:AD35)</f>
        <v>5493966.3765822798</v>
      </c>
      <c r="AE37" s="123">
        <f t="shared" si="45"/>
        <v>0</v>
      </c>
      <c r="AF37" s="124">
        <f t="shared" si="45"/>
        <v>2448000</v>
      </c>
      <c r="AG37" s="125"/>
      <c r="AH37" s="122">
        <f t="shared" ref="AH37:AJ37" si="46">SUM(AH24:AH35)</f>
        <v>6112000</v>
      </c>
      <c r="AI37" s="123">
        <f t="shared" si="46"/>
        <v>0</v>
      </c>
      <c r="AJ37" s="124">
        <f t="shared" si="46"/>
        <v>2424000</v>
      </c>
      <c r="AK37" s="125"/>
      <c r="AL37" s="122">
        <f t="shared" ref="AL37:AN37" si="47">SUM(AL24:AL35)</f>
        <v>8600000</v>
      </c>
      <c r="AM37" s="123">
        <f t="shared" si="47"/>
        <v>0</v>
      </c>
      <c r="AN37" s="124">
        <f t="shared" si="47"/>
        <v>1000000</v>
      </c>
      <c r="AO37" s="125"/>
      <c r="AP37" s="122">
        <f t="shared" ref="AP37:AQ37" si="48">SUM(AP24:AP35)</f>
        <v>6708000</v>
      </c>
      <c r="AQ37" s="123">
        <f t="shared" si="48"/>
        <v>0</v>
      </c>
      <c r="AR37" s="124">
        <f t="shared" ref="AR37" si="49">SUM(AR24:AR36)</f>
        <v>6708000</v>
      </c>
      <c r="AS37" s="125"/>
      <c r="AT37" s="122">
        <f t="shared" ref="AT37:AV37" si="50">SUM(AT24:AT35)</f>
        <v>12196000</v>
      </c>
      <c r="AU37" s="123">
        <f t="shared" si="50"/>
        <v>0</v>
      </c>
      <c r="AV37" s="124">
        <f t="shared" si="50"/>
        <v>1429000</v>
      </c>
      <c r="AW37" s="125"/>
      <c r="AX37" s="122">
        <f t="shared" ref="AX37:AZ37" si="51">SUM(AX24:AX35)</f>
        <v>11500000</v>
      </c>
      <c r="AY37" s="123">
        <f t="shared" si="51"/>
        <v>0</v>
      </c>
      <c r="AZ37" s="124">
        <f t="shared" si="51"/>
        <v>0</v>
      </c>
      <c r="BA37" s="125"/>
      <c r="BB37" s="122">
        <f t="shared" ref="BB37:BD37" si="52">SUM(BB24:BB35)</f>
        <v>16800000</v>
      </c>
      <c r="BC37" s="123">
        <f t="shared" si="52"/>
        <v>0</v>
      </c>
      <c r="BD37" s="124">
        <f t="shared" si="52"/>
        <v>5600000</v>
      </c>
      <c r="BE37" s="125"/>
      <c r="BF37" s="122">
        <f t="shared" ref="BF37:BH37" si="53">SUM(BF24:BF35)</f>
        <v>18000000</v>
      </c>
      <c r="BG37" s="123">
        <f t="shared" si="53"/>
        <v>0</v>
      </c>
      <c r="BH37" s="124">
        <f t="shared" si="53"/>
        <v>0</v>
      </c>
      <c r="BI37" s="125"/>
      <c r="BJ37" s="122">
        <f t="shared" ref="BJ37:BK37" si="54">SUM(BJ24:BJ35)</f>
        <v>3044000</v>
      </c>
      <c r="BK37" s="123">
        <f t="shared" si="54"/>
        <v>0</v>
      </c>
      <c r="BL37" s="124">
        <f t="shared" ref="BL37" si="55">SUM(BL24:BL36)</f>
        <v>0</v>
      </c>
      <c r="BM37" s="125"/>
      <c r="BN37" s="122">
        <f>SUM(BN24:BN35)</f>
        <v>13000000</v>
      </c>
      <c r="BO37" s="123">
        <f>SUM(BO24:BO35)</f>
        <v>1300000</v>
      </c>
      <c r="BP37" s="124">
        <f>SUM(BP24:BP36)</f>
        <v>0</v>
      </c>
      <c r="BQ37" s="125"/>
      <c r="BR37" s="122">
        <f t="shared" ref="BR37:BS37" si="56">SUM(BR24:BR35)</f>
        <v>22000000</v>
      </c>
      <c r="BS37" s="123">
        <f t="shared" si="56"/>
        <v>2200000</v>
      </c>
      <c r="BT37" s="124">
        <f t="shared" ref="BT37" si="57">SUM(BT24:BT36)</f>
        <v>0</v>
      </c>
      <c r="BU37" s="125"/>
      <c r="BV37" s="197">
        <v>22000000</v>
      </c>
      <c r="BW37" s="198">
        <v>2200000</v>
      </c>
      <c r="BX37" s="199">
        <v>0</v>
      </c>
      <c r="BY37" s="200"/>
      <c r="BZ37" s="197">
        <v>22000000</v>
      </c>
      <c r="CA37" s="198">
        <v>2200000</v>
      </c>
      <c r="CB37" s="199">
        <v>0</v>
      </c>
      <c r="CC37" s="200"/>
    </row>
    <row r="38" spans="1:81" x14ac:dyDescent="0.2">
      <c r="A38" s="21"/>
      <c r="AK38" s="14"/>
    </row>
    <row r="39" spans="1:81" x14ac:dyDescent="0.2">
      <c r="A39" s="21"/>
      <c r="AK39" s="14"/>
    </row>
    <row r="40" spans="1:81" x14ac:dyDescent="0.2">
      <c r="A40" s="21"/>
      <c r="AK40" s="14"/>
    </row>
    <row r="41" spans="1:81" x14ac:dyDescent="0.2">
      <c r="A41" s="21"/>
      <c r="AK41" s="14"/>
    </row>
    <row r="42" spans="1:81" x14ac:dyDescent="0.2">
      <c r="A42" s="21"/>
      <c r="AK42" s="14"/>
    </row>
    <row r="43" spans="1:81" x14ac:dyDescent="0.2">
      <c r="A43"/>
    </row>
    <row r="44" spans="1:81" x14ac:dyDescent="0.2">
      <c r="A44" s="5"/>
    </row>
    <row r="45" spans="1:81" x14ac:dyDescent="0.2">
      <c r="A45" s="21"/>
    </row>
    <row r="46" spans="1:81" x14ac:dyDescent="0.2">
      <c r="A46" s="21"/>
    </row>
    <row r="47" spans="1:81" x14ac:dyDescent="0.2">
      <c r="A47" s="21"/>
    </row>
    <row r="48" spans="1:81" x14ac:dyDescent="0.2">
      <c r="A48" s="21"/>
    </row>
    <row r="49" spans="1:1" x14ac:dyDescent="0.2">
      <c r="A49" s="21"/>
    </row>
    <row r="50" spans="1:1" x14ac:dyDescent="0.2">
      <c r="A50" s="21"/>
    </row>
    <row r="51" spans="1:1" x14ac:dyDescent="0.2">
      <c r="A51" s="21"/>
    </row>
    <row r="52" spans="1:1" x14ac:dyDescent="0.2">
      <c r="A52" s="21"/>
    </row>
    <row r="53" spans="1:1" x14ac:dyDescent="0.2">
      <c r="A53" s="21"/>
    </row>
    <row r="54" spans="1:1" x14ac:dyDescent="0.2">
      <c r="A54" s="21"/>
    </row>
    <row r="55" spans="1:1" x14ac:dyDescent="0.2">
      <c r="A55" s="21"/>
    </row>
    <row r="56" spans="1:1" x14ac:dyDescent="0.2">
      <c r="A56" s="21"/>
    </row>
    <row r="57" spans="1:1" x14ac:dyDescent="0.2">
      <c r="A57" s="21"/>
    </row>
    <row r="58" spans="1:1" x14ac:dyDescent="0.2">
      <c r="A58" s="21"/>
    </row>
    <row r="59" spans="1:1" x14ac:dyDescent="0.2">
      <c r="A59" s="21"/>
    </row>
    <row r="60" spans="1:1" x14ac:dyDescent="0.2">
      <c r="A60" s="21"/>
    </row>
    <row r="61" spans="1:1" x14ac:dyDescent="0.2">
      <c r="A61" s="21"/>
    </row>
    <row r="62" spans="1:1" x14ac:dyDescent="0.2">
      <c r="A62" s="21"/>
    </row>
    <row r="63" spans="1:1" x14ac:dyDescent="0.2">
      <c r="A63" s="21"/>
    </row>
    <row r="64" spans="1:1" x14ac:dyDescent="0.2">
      <c r="A64" s="21"/>
    </row>
    <row r="65" spans="1:37" x14ac:dyDescent="0.2">
      <c r="A65" s="21"/>
    </row>
    <row r="66" spans="1:37" x14ac:dyDescent="0.2">
      <c r="A66" s="21"/>
    </row>
    <row r="67" spans="1:37" x14ac:dyDescent="0.2">
      <c r="A67" s="21"/>
    </row>
    <row r="68" spans="1:37" x14ac:dyDescent="0.2">
      <c r="A68" s="21"/>
    </row>
    <row r="69" spans="1:37" x14ac:dyDescent="0.2">
      <c r="A69"/>
      <c r="AI69" s="14"/>
      <c r="AJ69" s="14"/>
      <c r="AK69" s="14"/>
    </row>
    <row r="70" spans="1:37" x14ac:dyDescent="0.2">
      <c r="A70" s="5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</row>
    <row r="71" spans="1:37" x14ac:dyDescent="0.2">
      <c r="A71" s="21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 spans="1:37" x14ac:dyDescent="0.2">
      <c r="A72" s="21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 spans="1:37" x14ac:dyDescent="0.2">
      <c r="A73" s="21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</row>
    <row r="74" spans="1:37" x14ac:dyDescent="0.2">
      <c r="A74" s="21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 spans="1:37" x14ac:dyDescent="0.2">
      <c r="A75" s="21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 spans="1:37" x14ac:dyDescent="0.2">
      <c r="A76" s="21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 spans="1:37" x14ac:dyDescent="0.2">
      <c r="A77" s="21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 spans="1:37" x14ac:dyDescent="0.2">
      <c r="A78" s="21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 spans="1:37" x14ac:dyDescent="0.2">
      <c r="A79" s="21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 spans="1:37" x14ac:dyDescent="0.2">
      <c r="A80" s="21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</row>
    <row r="81" spans="1:37" x14ac:dyDescent="0.2">
      <c r="A81" s="21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</row>
    <row r="82" spans="1:37" x14ac:dyDescent="0.2">
      <c r="A82" s="21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 spans="1:37" x14ac:dyDescent="0.2">
      <c r="A83" s="21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 spans="1:37" x14ac:dyDescent="0.2">
      <c r="A84" s="21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</row>
    <row r="85" spans="1:37" x14ac:dyDescent="0.2">
      <c r="A85" s="21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</row>
    <row r="86" spans="1:37" x14ac:dyDescent="0.2">
      <c r="A86" s="21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 spans="1:37" x14ac:dyDescent="0.2">
      <c r="A87" s="21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</row>
    <row r="88" spans="1:37" x14ac:dyDescent="0.2">
      <c r="A88" s="21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</row>
    <row r="89" spans="1:37" x14ac:dyDescent="0.2">
      <c r="A89" s="21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</row>
    <row r="90" spans="1:37" x14ac:dyDescent="0.2">
      <c r="A90" s="21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</row>
    <row r="91" spans="1:37" x14ac:dyDescent="0.2">
      <c r="A91" s="21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</row>
    <row r="92" spans="1:37" x14ac:dyDescent="0.2">
      <c r="A92"/>
    </row>
  </sheetData>
  <customSheetViews>
    <customSheetView guid="{B2A5A4D4-6CB8-42F5-BC08-2FAB393FA19C}">
      <pane xSplit="1" topLeftCell="B1" activePane="topRight" state="frozen"/>
      <selection pane="topRight" activeCell="E4" sqref="E4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  <ignoredErrors>
    <ignoredError sqref="B17:D17 F17:H17 J17 K17:L17 M14:M15 N17:P17 R17:T17 U13:U15 V17:AF17 Y14:Y15 AH17:AR17 AO7:AS16 AT17:AZ17 AW7:AW8 BB17:BH17 BI10:BU16 BI17:BK17 BM17:BU17 BQ25:BU25 BE27:BP37 AO29:BD35 AD37:AN37 AA24:AC24 Y24:Z25 U24:X25 J37:T37 B37:H37 AK24 AO25:AQ25 AW25:BD25 BE24 BN24:BP24 BE25:BK25 BM25:BP25 AP26:AU26 AX26:BC26 AA29:AC37 AA25 AC25 U30:X37 V26:W26 Y30:Z37 Z26 AA26 AO37:BD37 AO36:AQ36 AS36:BD36 AP27:AQ27 AT27:BD27 BQ27:BU37 BR26:BU26 AS25:AU25 AO28:AQ28 AT28:BD28 V27:W27 BF26:BP26 Z27 V28:W28 Z28 U29:W29 Z29 AA27 AA28" emptyCellReference="1"/>
    <ignoredError sqref="BL17" formulaRange="1" emptyCellReferenc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44F29-5C7A-8E49-ACBD-48CD34C5E8A7}">
  <dimension ref="A1:O35"/>
  <sheetViews>
    <sheetView workbookViewId="0">
      <selection activeCell="E18" sqref="E18"/>
    </sheetView>
  </sheetViews>
  <sheetFormatPr baseColWidth="10" defaultColWidth="11.5" defaultRowHeight="15" x14ac:dyDescent="0.2"/>
  <cols>
    <col min="2" max="2" width="23" customWidth="1"/>
    <col min="3" max="3" width="21.5" customWidth="1"/>
    <col min="4" max="4" width="15" customWidth="1"/>
    <col min="5" max="5" width="17.5" customWidth="1"/>
    <col min="6" max="6" width="18.5" customWidth="1"/>
    <col min="7" max="7" width="8.1640625" customWidth="1"/>
    <col min="8" max="8" width="3.33203125" hidden="1" customWidth="1"/>
    <col min="9" max="9" width="5.5" customWidth="1"/>
    <col min="10" max="10" width="22.33203125" customWidth="1"/>
    <col min="11" max="11" width="21" customWidth="1"/>
    <col min="12" max="12" width="16.6640625" customWidth="1"/>
    <col min="13" max="13" width="15.33203125" customWidth="1"/>
    <col min="14" max="14" width="17.83203125" customWidth="1"/>
  </cols>
  <sheetData>
    <row r="1" spans="1:15" x14ac:dyDescent="0.2">
      <c r="F1" s="79">
        <v>45784</v>
      </c>
      <c r="J1" s="90">
        <v>45784</v>
      </c>
    </row>
    <row r="2" spans="1:15" x14ac:dyDescent="0.2">
      <c r="C2" s="77" t="s">
        <v>114</v>
      </c>
      <c r="L2" s="77" t="s">
        <v>115</v>
      </c>
    </row>
    <row r="3" spans="1:15" ht="16" x14ac:dyDescent="0.2">
      <c r="A3" s="3" t="s">
        <v>80</v>
      </c>
      <c r="B3" s="3" t="s">
        <v>81</v>
      </c>
      <c r="C3" s="3" t="s">
        <v>82</v>
      </c>
      <c r="D3" s="3" t="s">
        <v>83</v>
      </c>
      <c r="E3" s="3" t="s">
        <v>58</v>
      </c>
      <c r="F3" s="3" t="s">
        <v>84</v>
      </c>
      <c r="G3" s="78" t="s">
        <v>111</v>
      </c>
      <c r="I3" s="3" t="s">
        <v>80</v>
      </c>
      <c r="J3" s="3" t="s">
        <v>81</v>
      </c>
      <c r="K3" s="3" t="s">
        <v>82</v>
      </c>
      <c r="L3" s="3" t="s">
        <v>83</v>
      </c>
      <c r="M3" s="3" t="s">
        <v>58</v>
      </c>
      <c r="N3" s="3" t="s">
        <v>84</v>
      </c>
      <c r="O3" s="78" t="s">
        <v>111</v>
      </c>
    </row>
    <row r="4" spans="1:15" ht="18" x14ac:dyDescent="0.35">
      <c r="A4">
        <v>1</v>
      </c>
      <c r="B4" t="s">
        <v>34</v>
      </c>
      <c r="C4" s="92">
        <v>9900000</v>
      </c>
      <c r="D4" s="92">
        <f>C4-E4</f>
        <v>9900000</v>
      </c>
      <c r="E4" s="93">
        <f>2955000-612000-612000-1731000</f>
        <v>0</v>
      </c>
      <c r="F4" s="71">
        <v>45418</v>
      </c>
      <c r="G4" t="s">
        <v>98</v>
      </c>
      <c r="I4">
        <v>1</v>
      </c>
      <c r="J4" t="s">
        <v>34</v>
      </c>
      <c r="K4" s="95">
        <v>16500000</v>
      </c>
      <c r="L4" s="95">
        <f>718000+718000+718000+517000+917000+717000+717000+717000</f>
        <v>5739000</v>
      </c>
      <c r="M4" s="96">
        <f>K4-L4</f>
        <v>10761000</v>
      </c>
      <c r="N4" s="71">
        <v>45450</v>
      </c>
      <c r="O4" t="s">
        <v>104</v>
      </c>
    </row>
    <row r="5" spans="1:15" ht="18" x14ac:dyDescent="0.35">
      <c r="A5">
        <v>2</v>
      </c>
      <c r="B5" t="s">
        <v>38</v>
      </c>
      <c r="C5" s="92">
        <v>11000000</v>
      </c>
      <c r="D5" s="92">
        <f t="shared" ref="D5:D20" si="0">C5-E5</f>
        <v>11000000</v>
      </c>
      <c r="E5" s="93">
        <f>4267000-612000-612000-3000000-10000-33000</f>
        <v>0</v>
      </c>
      <c r="F5" s="71">
        <v>45418</v>
      </c>
      <c r="G5" t="s">
        <v>98</v>
      </c>
      <c r="I5">
        <v>2</v>
      </c>
      <c r="J5" t="s">
        <v>38</v>
      </c>
      <c r="K5" s="95">
        <v>22000000</v>
      </c>
      <c r="L5" s="95">
        <f>1300000+1300000+1300000+1300000+2600000+3000000</f>
        <v>10800000</v>
      </c>
      <c r="M5" s="96">
        <f t="shared" ref="M5:M21" si="1">K5-L5</f>
        <v>11200000</v>
      </c>
      <c r="N5" s="71">
        <v>45490</v>
      </c>
      <c r="O5" t="s">
        <v>118</v>
      </c>
    </row>
    <row r="6" spans="1:15" ht="18" x14ac:dyDescent="0.35">
      <c r="A6">
        <v>3</v>
      </c>
      <c r="B6" t="s">
        <v>85</v>
      </c>
      <c r="C6" s="92">
        <v>11000000</v>
      </c>
      <c r="D6" s="92">
        <f t="shared" si="0"/>
        <v>11000000</v>
      </c>
      <c r="E6" s="93">
        <f>4000000-1000000-3000000</f>
        <v>0</v>
      </c>
      <c r="F6" s="71">
        <v>45451</v>
      </c>
      <c r="G6" s="76" t="s">
        <v>99</v>
      </c>
      <c r="I6">
        <v>3</v>
      </c>
      <c r="J6" t="s">
        <v>85</v>
      </c>
      <c r="K6" s="95">
        <v>16500000</v>
      </c>
      <c r="L6" s="95">
        <f>1000000+800000+800000+1600000+800000</f>
        <v>5000000</v>
      </c>
      <c r="M6" s="96">
        <f t="shared" si="1"/>
        <v>11500000</v>
      </c>
      <c r="N6" s="71">
        <v>45454</v>
      </c>
      <c r="O6" s="76" t="s">
        <v>99</v>
      </c>
    </row>
    <row r="7" spans="1:15" ht="18" x14ac:dyDescent="0.35">
      <c r="A7">
        <v>4</v>
      </c>
      <c r="B7" t="s">
        <v>86</v>
      </c>
      <c r="C7" s="92">
        <v>11000000</v>
      </c>
      <c r="D7" s="92">
        <f t="shared" si="0"/>
        <v>11000000</v>
      </c>
      <c r="E7" s="93">
        <f>5000000-2000000-2000000-1000000</f>
        <v>0</v>
      </c>
      <c r="F7" s="71">
        <v>45482</v>
      </c>
      <c r="G7" t="s">
        <v>100</v>
      </c>
      <c r="I7">
        <v>4</v>
      </c>
      <c r="J7" t="s">
        <v>86</v>
      </c>
      <c r="K7" s="95">
        <v>22000000</v>
      </c>
      <c r="L7" s="95">
        <f>2000000+2000000</f>
        <v>4000000</v>
      </c>
      <c r="M7" s="96">
        <f t="shared" si="1"/>
        <v>18000000</v>
      </c>
      <c r="N7" s="71">
        <v>45516</v>
      </c>
      <c r="O7" t="s">
        <v>103</v>
      </c>
    </row>
    <row r="8" spans="1:15" ht="18" x14ac:dyDescent="0.35">
      <c r="A8">
        <v>5</v>
      </c>
      <c r="B8" t="s">
        <v>61</v>
      </c>
      <c r="C8" s="92">
        <v>11000000</v>
      </c>
      <c r="D8" s="92">
        <f t="shared" si="0"/>
        <v>11000000</v>
      </c>
      <c r="E8" s="93">
        <f>5328000-612000-716000-612000-2000000-1388000</f>
        <v>0</v>
      </c>
      <c r="F8" s="71">
        <v>45519</v>
      </c>
      <c r="G8" t="s">
        <v>101</v>
      </c>
      <c r="I8">
        <v>5</v>
      </c>
      <c r="J8" t="s">
        <v>61</v>
      </c>
      <c r="K8" s="95">
        <v>24200000</v>
      </c>
      <c r="L8" s="95"/>
      <c r="M8" s="96">
        <f t="shared" si="1"/>
        <v>24200000</v>
      </c>
      <c r="N8" s="71">
        <v>45695</v>
      </c>
      <c r="O8" t="s">
        <v>129</v>
      </c>
    </row>
    <row r="9" spans="1:15" ht="18" x14ac:dyDescent="0.35">
      <c r="A9">
        <v>6</v>
      </c>
      <c r="B9" t="s">
        <v>42</v>
      </c>
      <c r="C9" s="92">
        <v>11000000</v>
      </c>
      <c r="D9" s="92">
        <f t="shared" si="0"/>
        <v>7956000</v>
      </c>
      <c r="E9" s="93">
        <f>7328000-612000-612000-612000-612000-612000-612000-612000</f>
        <v>3044000</v>
      </c>
      <c r="F9" s="71">
        <v>45549</v>
      </c>
      <c r="G9" t="s">
        <v>102</v>
      </c>
      <c r="I9">
        <v>6</v>
      </c>
      <c r="J9" t="s">
        <v>42</v>
      </c>
      <c r="K9" s="95"/>
      <c r="L9" s="95"/>
      <c r="M9" s="96">
        <f t="shared" si="1"/>
        <v>0</v>
      </c>
      <c r="N9" s="71"/>
    </row>
    <row r="10" spans="1:15" ht="18" x14ac:dyDescent="0.35">
      <c r="A10">
        <v>7</v>
      </c>
      <c r="B10" t="s">
        <v>35</v>
      </c>
      <c r="C10" s="92">
        <v>11000000</v>
      </c>
      <c r="D10" s="92">
        <f t="shared" si="0"/>
        <v>11000000</v>
      </c>
      <c r="E10" s="93">
        <f>7290000-716000-1200000-612000-630000-700000-615000-600000-1700000-517000</f>
        <v>0</v>
      </c>
      <c r="F10" s="71">
        <v>45547</v>
      </c>
      <c r="G10" t="s">
        <v>103</v>
      </c>
      <c r="I10">
        <v>7</v>
      </c>
      <c r="J10" t="s">
        <v>35</v>
      </c>
      <c r="K10" s="95">
        <v>22000000</v>
      </c>
      <c r="L10" s="95">
        <f>2750000+2450000</f>
        <v>5200000</v>
      </c>
      <c r="M10" s="96">
        <f t="shared" si="1"/>
        <v>16800000</v>
      </c>
      <c r="N10" s="71">
        <v>45727</v>
      </c>
      <c r="O10" t="s">
        <v>134</v>
      </c>
    </row>
    <row r="11" spans="1:15" ht="18" x14ac:dyDescent="0.35">
      <c r="A11">
        <v>8</v>
      </c>
      <c r="B11" t="s">
        <v>65</v>
      </c>
      <c r="C11" s="92">
        <v>11000000</v>
      </c>
      <c r="D11" s="92">
        <f t="shared" si="0"/>
        <v>11000000</v>
      </c>
      <c r="E11" s="93">
        <f>7330000-611000-611000-611000-610000-612000-612000-615000-616000-620000-620000-620000-572000</f>
        <v>0</v>
      </c>
      <c r="F11" s="71">
        <v>45574</v>
      </c>
      <c r="G11" t="s">
        <v>99</v>
      </c>
      <c r="I11">
        <v>8</v>
      </c>
      <c r="J11" t="s">
        <v>65</v>
      </c>
      <c r="K11" s="95"/>
      <c r="L11" s="95"/>
      <c r="M11" s="96">
        <f t="shared" si="1"/>
        <v>0</v>
      </c>
      <c r="N11" s="71"/>
    </row>
    <row r="12" spans="1:15" ht="18" x14ac:dyDescent="0.35">
      <c r="A12">
        <v>9</v>
      </c>
      <c r="B12" t="s">
        <v>40</v>
      </c>
      <c r="C12" s="92">
        <v>11000000</v>
      </c>
      <c r="D12" s="92">
        <f t="shared" si="0"/>
        <v>6672000</v>
      </c>
      <c r="E12" s="93">
        <f>7988000-600000-612000-1224000-612000-612000</f>
        <v>4328000</v>
      </c>
      <c r="F12" s="71">
        <v>45611</v>
      </c>
      <c r="G12" t="s">
        <v>101</v>
      </c>
      <c r="I12">
        <v>9</v>
      </c>
      <c r="J12" t="s">
        <v>40</v>
      </c>
      <c r="K12" s="95"/>
      <c r="L12" s="95"/>
      <c r="M12" s="96">
        <f t="shared" si="1"/>
        <v>0</v>
      </c>
      <c r="N12" s="71"/>
    </row>
    <row r="13" spans="1:15" ht="18" x14ac:dyDescent="0.35">
      <c r="A13">
        <v>10</v>
      </c>
      <c r="B13" t="s">
        <v>87</v>
      </c>
      <c r="C13" s="92">
        <v>11000000</v>
      </c>
      <c r="D13" s="92">
        <f t="shared" si="0"/>
        <v>10908000</v>
      </c>
      <c r="E13" s="93">
        <f>9164000-612000-612000-612000-612000-612000-612000-1200000-600000-1200000-2400000</f>
        <v>92000</v>
      </c>
      <c r="F13" s="71">
        <v>45633</v>
      </c>
      <c r="G13" t="s">
        <v>104</v>
      </c>
      <c r="I13">
        <v>10</v>
      </c>
      <c r="J13" t="s">
        <v>87</v>
      </c>
      <c r="K13" s="95">
        <v>3300000</v>
      </c>
      <c r="L13" s="95"/>
      <c r="M13" s="96">
        <f t="shared" si="1"/>
        <v>3300000</v>
      </c>
      <c r="N13" s="71" t="s">
        <v>139</v>
      </c>
    </row>
    <row r="14" spans="1:15" ht="18" x14ac:dyDescent="0.35">
      <c r="A14">
        <v>11</v>
      </c>
      <c r="B14" t="s">
        <v>52</v>
      </c>
      <c r="C14" s="92">
        <v>6600000</v>
      </c>
      <c r="D14" s="92">
        <f t="shared" si="0"/>
        <v>6600000</v>
      </c>
      <c r="E14" s="93">
        <f>4950000-550000-550000-550000-550000-2750000</f>
        <v>0</v>
      </c>
      <c r="F14" s="71">
        <v>45644</v>
      </c>
      <c r="G14" t="s">
        <v>105</v>
      </c>
      <c r="I14">
        <v>11</v>
      </c>
      <c r="J14" t="s">
        <v>52</v>
      </c>
      <c r="K14" s="95">
        <v>14300000</v>
      </c>
      <c r="L14" s="95"/>
      <c r="M14" s="96">
        <f t="shared" si="1"/>
        <v>14300000</v>
      </c>
      <c r="N14" s="71">
        <v>46021</v>
      </c>
      <c r="O14" t="s">
        <v>128</v>
      </c>
    </row>
    <row r="15" spans="1:15" ht="18" x14ac:dyDescent="0.35">
      <c r="A15">
        <v>12</v>
      </c>
      <c r="B15" t="s">
        <v>39</v>
      </c>
      <c r="C15" s="92">
        <v>11000000</v>
      </c>
      <c r="D15" s="92">
        <f t="shared" si="0"/>
        <v>11000000</v>
      </c>
      <c r="E15" s="93">
        <f>8000000-700000-100000-1000000-1000000-1000000-4200000</f>
        <v>0</v>
      </c>
      <c r="F15" s="71">
        <v>45310</v>
      </c>
      <c r="G15" t="s">
        <v>106</v>
      </c>
      <c r="I15">
        <v>12</v>
      </c>
      <c r="J15" t="s">
        <v>39</v>
      </c>
      <c r="K15" s="95">
        <v>22000000</v>
      </c>
      <c r="L15" s="95">
        <f>1000000+1000000+250000+2000000+1250000+1300000+2000000+1500000</f>
        <v>10300000</v>
      </c>
      <c r="M15" s="96">
        <f t="shared" si="1"/>
        <v>11700000</v>
      </c>
      <c r="N15" s="71">
        <v>45545</v>
      </c>
      <c r="O15" t="s">
        <v>124</v>
      </c>
    </row>
    <row r="16" spans="1:15" ht="18" x14ac:dyDescent="0.35">
      <c r="A16">
        <v>13</v>
      </c>
      <c r="B16" t="s">
        <v>88</v>
      </c>
      <c r="C16" s="92">
        <v>11000000</v>
      </c>
      <c r="D16" s="92">
        <f t="shared" si="0"/>
        <v>11000000</v>
      </c>
      <c r="E16" s="93">
        <f>10000000-1000000-1000000-1000000-1000000-1000000-1000000-1000000-3000000</f>
        <v>0</v>
      </c>
      <c r="F16" s="71">
        <v>45330</v>
      </c>
      <c r="G16" t="s">
        <v>99</v>
      </c>
      <c r="I16">
        <v>13</v>
      </c>
      <c r="J16" t="s">
        <v>88</v>
      </c>
      <c r="K16" s="95">
        <v>24200000</v>
      </c>
      <c r="L16" s="95">
        <f>1862000+1862000+1862000+1862000+1862000+1862000</f>
        <v>11172000</v>
      </c>
      <c r="M16" s="96">
        <f t="shared" si="1"/>
        <v>13028000</v>
      </c>
      <c r="N16" s="71">
        <v>45587</v>
      </c>
      <c r="O16" t="s">
        <v>123</v>
      </c>
    </row>
    <row r="17" spans="1:14" ht="18" x14ac:dyDescent="0.35">
      <c r="A17">
        <v>14</v>
      </c>
      <c r="B17" t="s">
        <v>63</v>
      </c>
      <c r="C17" s="92">
        <v>11000000</v>
      </c>
      <c r="D17" s="92">
        <f t="shared" si="0"/>
        <v>8568000</v>
      </c>
      <c r="E17" s="93">
        <f>10388000-612000-612000-612000-612000-612000-612000-612000-612000-612000-612000-612000-612000-612000</f>
        <v>2432000</v>
      </c>
      <c r="F17" s="71">
        <v>45341</v>
      </c>
      <c r="G17" t="s">
        <v>106</v>
      </c>
      <c r="I17">
        <v>14</v>
      </c>
      <c r="J17" t="s">
        <v>63</v>
      </c>
      <c r="K17" s="95"/>
      <c r="L17" s="95"/>
      <c r="M17" s="96">
        <f t="shared" si="1"/>
        <v>0</v>
      </c>
      <c r="N17" s="71"/>
    </row>
    <row r="18" spans="1:14" ht="18" x14ac:dyDescent="0.35">
      <c r="A18">
        <v>15</v>
      </c>
      <c r="B18" t="s">
        <v>89</v>
      </c>
      <c r="C18" s="92">
        <v>11000000</v>
      </c>
      <c r="D18" s="92">
        <f t="shared" si="0"/>
        <v>7956000</v>
      </c>
      <c r="E18" s="93">
        <f>10388000-612000-612000-612000-612000-612000-612000-612000-612000-612000-612000-612000-612000</f>
        <v>3044000</v>
      </c>
      <c r="F18" s="71">
        <v>45357</v>
      </c>
      <c r="G18" t="s">
        <v>98</v>
      </c>
      <c r="I18">
        <v>15</v>
      </c>
      <c r="J18" t="s">
        <v>89</v>
      </c>
      <c r="K18" s="95"/>
      <c r="L18" s="95"/>
      <c r="M18" s="96">
        <f t="shared" si="1"/>
        <v>0</v>
      </c>
      <c r="N18" s="71"/>
    </row>
    <row r="19" spans="1:14" ht="18" x14ac:dyDescent="0.35">
      <c r="A19">
        <v>16</v>
      </c>
      <c r="B19" t="s">
        <v>90</v>
      </c>
      <c r="C19" s="92">
        <v>11000000</v>
      </c>
      <c r="D19" s="92">
        <f t="shared" si="0"/>
        <v>7312000</v>
      </c>
      <c r="E19" s="93">
        <f>11000000-620000-600000-620000-612000-612000-612000-600000-612000-612000-600000-600000-612000</f>
        <v>3688000</v>
      </c>
      <c r="F19" s="71">
        <v>45391</v>
      </c>
      <c r="G19" t="s">
        <v>100</v>
      </c>
      <c r="I19">
        <v>16</v>
      </c>
      <c r="J19" t="s">
        <v>90</v>
      </c>
      <c r="K19" s="95"/>
      <c r="L19" s="95"/>
      <c r="M19" s="96">
        <f t="shared" si="1"/>
        <v>0</v>
      </c>
      <c r="N19" s="71"/>
    </row>
    <row r="20" spans="1:14" ht="18" x14ac:dyDescent="0.35">
      <c r="A20">
        <v>17</v>
      </c>
      <c r="B20" t="s">
        <v>96</v>
      </c>
      <c r="C20" s="92">
        <v>11000000</v>
      </c>
      <c r="D20" s="92">
        <f t="shared" si="0"/>
        <v>3400000</v>
      </c>
      <c r="E20" s="93">
        <f>11000000-700000-700000-1000000-1000000</f>
        <v>7600000</v>
      </c>
      <c r="F20" s="71">
        <v>45402</v>
      </c>
      <c r="G20" t="s">
        <v>107</v>
      </c>
      <c r="I20">
        <v>17</v>
      </c>
      <c r="J20" t="s">
        <v>96</v>
      </c>
      <c r="K20" s="95"/>
      <c r="L20" s="95"/>
      <c r="M20" s="96">
        <f t="shared" si="1"/>
        <v>0</v>
      </c>
      <c r="N20" s="71"/>
    </row>
    <row r="21" spans="1:14" ht="18" x14ac:dyDescent="0.35">
      <c r="A21">
        <v>18</v>
      </c>
      <c r="B21" t="s">
        <v>97</v>
      </c>
      <c r="C21" s="92">
        <v>11000000</v>
      </c>
      <c r="D21" s="92">
        <f>C21-E21</f>
        <v>11000000</v>
      </c>
      <c r="E21" s="93">
        <f>11000000-612000-612000-612000-612000-612000-612000-612000-1000000-2000000-3088000-620000-8000</f>
        <v>0</v>
      </c>
      <c r="F21" s="71">
        <v>45420</v>
      </c>
      <c r="G21" t="s">
        <v>99</v>
      </c>
      <c r="I21">
        <v>18</v>
      </c>
      <c r="J21" t="s">
        <v>97</v>
      </c>
      <c r="K21" s="95">
        <v>18150000</v>
      </c>
      <c r="L21" s="95">
        <f>1250000</f>
        <v>1250000</v>
      </c>
      <c r="M21" s="96">
        <f t="shared" si="1"/>
        <v>16900000</v>
      </c>
      <c r="N21" s="71" t="s">
        <v>138</v>
      </c>
    </row>
    <row r="22" spans="1:14" ht="16" x14ac:dyDescent="0.2">
      <c r="B22" s="3" t="s">
        <v>91</v>
      </c>
      <c r="C22" s="94">
        <f>SUM(C4:C21)</f>
        <v>192500000</v>
      </c>
      <c r="D22" s="94">
        <f>SUM(D4:D20)</f>
        <v>157272000</v>
      </c>
      <c r="E22" s="94">
        <f>SUM(E4:E19)</f>
        <v>16628000</v>
      </c>
      <c r="J22" s="3" t="s">
        <v>91</v>
      </c>
      <c r="K22" s="97">
        <f>SUM(K4:K21)</f>
        <v>205150000</v>
      </c>
      <c r="L22" s="97">
        <f>SUM(L4:L20)</f>
        <v>52211000</v>
      </c>
      <c r="M22" s="97">
        <f>SUM(M4:M19)</f>
        <v>134789000</v>
      </c>
    </row>
    <row r="23" spans="1:14" x14ac:dyDescent="0.2">
      <c r="C23" s="91"/>
      <c r="D23" s="91"/>
      <c r="K23" s="67"/>
      <c r="L23" s="67"/>
      <c r="M23" s="67"/>
    </row>
    <row r="28" spans="1:14" x14ac:dyDescent="0.2">
      <c r="F28" s="67"/>
    </row>
    <row r="35" spans="4:4" x14ac:dyDescent="0.2">
      <c r="D35" s="67"/>
    </row>
  </sheetData>
  <pageMargins left="0.7" right="0.7" top="0.75" bottom="0.75" header="0.3" footer="0.3"/>
  <pageSetup orientation="portrait" r:id="rId1"/>
  <ignoredErrors>
    <ignoredError sqref="M8:M21 K22:L22" emptyCellReferenc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tabColor rgb="FFFFFF00"/>
  </sheetPr>
  <dimension ref="A1:M25"/>
  <sheetViews>
    <sheetView workbookViewId="0">
      <pane ySplit="1" topLeftCell="A2" activePane="bottomLeft" state="frozen"/>
      <selection pane="bottomLeft" activeCell="J17" sqref="J17"/>
    </sheetView>
  </sheetViews>
  <sheetFormatPr baseColWidth="10" defaultColWidth="11.1640625" defaultRowHeight="15" x14ac:dyDescent="0.2"/>
  <cols>
    <col min="1" max="1" width="53.6640625" customWidth="1"/>
    <col min="2" max="2" width="18.1640625" style="1" customWidth="1"/>
    <col min="3" max="3" width="19.33203125" customWidth="1"/>
    <col min="4" max="4" width="16.83203125" customWidth="1"/>
    <col min="5" max="6" width="15.5" customWidth="1"/>
    <col min="7" max="7" width="18.6640625" customWidth="1"/>
    <col min="8" max="8" width="15.1640625" customWidth="1"/>
    <col min="9" max="9" width="15.5" style="14" customWidth="1"/>
    <col min="10" max="10" width="13.6640625" bestFit="1" customWidth="1"/>
  </cols>
  <sheetData>
    <row r="1" spans="1:13" s="29" customFormat="1" x14ac:dyDescent="0.2">
      <c r="B1" s="32">
        <v>45292</v>
      </c>
      <c r="C1" s="32">
        <v>45323</v>
      </c>
      <c r="D1" s="32">
        <v>45352</v>
      </c>
      <c r="E1" s="32">
        <v>45383</v>
      </c>
      <c r="F1" s="32">
        <v>45413</v>
      </c>
      <c r="G1" s="32">
        <v>45444</v>
      </c>
      <c r="H1" s="32">
        <v>45474</v>
      </c>
      <c r="I1" s="84">
        <v>45505</v>
      </c>
      <c r="J1" s="32">
        <v>45536</v>
      </c>
      <c r="K1" s="32">
        <v>45566</v>
      </c>
      <c r="L1" s="32">
        <v>45597</v>
      </c>
      <c r="M1" s="32">
        <v>45627</v>
      </c>
    </row>
    <row r="2" spans="1:13" x14ac:dyDescent="0.2">
      <c r="A2" s="8" t="s">
        <v>51</v>
      </c>
      <c r="B2" s="13"/>
      <c r="C2" s="13"/>
      <c r="D2" s="13"/>
      <c r="E2" s="13"/>
      <c r="F2" s="13"/>
      <c r="G2" s="13"/>
      <c r="H2" s="13"/>
      <c r="I2" s="25"/>
      <c r="J2" s="13"/>
      <c r="K2" s="13"/>
      <c r="L2" s="13"/>
      <c r="M2" s="13"/>
    </row>
    <row r="3" spans="1:13" x14ac:dyDescent="0.2">
      <c r="A3" s="13" t="s">
        <v>15</v>
      </c>
      <c r="B3" s="30">
        <f>HISA!C23</f>
        <v>8800000</v>
      </c>
      <c r="C3" s="30">
        <f>HISA!D23</f>
        <v>8100000</v>
      </c>
      <c r="D3" s="64">
        <f>HISA!E23</f>
        <v>7300000</v>
      </c>
      <c r="E3" s="64">
        <f>HISA!F23</f>
        <v>5200000</v>
      </c>
      <c r="F3" s="64">
        <f>HISA!G23</f>
        <v>6000000</v>
      </c>
      <c r="G3" s="64">
        <f>HISA!H23</f>
        <v>3200000</v>
      </c>
      <c r="H3" s="64">
        <f>HISA!I23</f>
        <v>0</v>
      </c>
      <c r="I3" s="85">
        <f>HISA!J23</f>
        <v>0</v>
      </c>
      <c r="J3" s="64">
        <f>HISA!K23</f>
        <v>0</v>
      </c>
      <c r="K3" s="13"/>
      <c r="L3" s="13"/>
      <c r="M3" s="13"/>
    </row>
    <row r="4" spans="1:13" x14ac:dyDescent="0.2">
      <c r="A4" s="13" t="s">
        <v>6</v>
      </c>
      <c r="B4" s="30">
        <f>JAMII!C22</f>
        <v>270000</v>
      </c>
      <c r="C4" s="30">
        <f>JAMII!D22</f>
        <v>270000</v>
      </c>
      <c r="D4" s="30">
        <f>JAMII!E22</f>
        <v>255000</v>
      </c>
      <c r="E4" s="30">
        <f>JAMII!F22</f>
        <v>255000</v>
      </c>
      <c r="F4" s="30">
        <f>JAMII!G22</f>
        <v>225000</v>
      </c>
      <c r="G4" s="30">
        <f>JAMII!H22</f>
        <v>135000</v>
      </c>
      <c r="H4" s="30">
        <f>JAMII!I22</f>
        <v>0</v>
      </c>
      <c r="I4" s="34">
        <f>JAMII!J22</f>
        <v>0</v>
      </c>
      <c r="J4" s="30">
        <f>JAMII!K22</f>
        <v>0</v>
      </c>
      <c r="K4" s="30">
        <f>JAMII!L22</f>
        <v>0</v>
      </c>
      <c r="L4" s="30">
        <f>JAMII!M22</f>
        <v>0</v>
      </c>
      <c r="M4" s="30">
        <f>JAMII!N22</f>
        <v>0</v>
      </c>
    </row>
    <row r="5" spans="1:13" x14ac:dyDescent="0.2">
      <c r="A5" s="13" t="s">
        <v>4</v>
      </c>
      <c r="B5" s="30">
        <f>FAINI!B21</f>
        <v>215000</v>
      </c>
      <c r="C5" s="30">
        <f>FAINI!C21</f>
        <v>352000</v>
      </c>
      <c r="D5" s="30">
        <f>FAINI!D21</f>
        <v>453000</v>
      </c>
      <c r="E5" s="30">
        <f>FAINI!E21</f>
        <v>411000</v>
      </c>
      <c r="F5" s="30">
        <f>FAINI!F21</f>
        <v>475000</v>
      </c>
      <c r="G5" s="30">
        <f>FAINI!G21</f>
        <v>0</v>
      </c>
      <c r="H5" s="30">
        <f>FAINI!H21</f>
        <v>0</v>
      </c>
      <c r="I5" s="34">
        <f>FAINI!I21</f>
        <v>0</v>
      </c>
      <c r="J5" s="30">
        <f>FAINI!J21</f>
        <v>0</v>
      </c>
      <c r="K5" s="30">
        <f>FAINI!K21</f>
        <v>0</v>
      </c>
      <c r="L5" s="30">
        <f>FAINI!L21</f>
        <v>0</v>
      </c>
      <c r="M5" s="30">
        <f>FAINI!N21</f>
        <v>0</v>
      </c>
    </row>
    <row r="6" spans="1:13" x14ac:dyDescent="0.2">
      <c r="A6" s="13" t="s">
        <v>2</v>
      </c>
      <c r="B6" s="30">
        <v>0</v>
      </c>
      <c r="C6" s="30">
        <v>0</v>
      </c>
      <c r="D6" s="30">
        <v>0</v>
      </c>
      <c r="E6" s="30">
        <v>0</v>
      </c>
      <c r="F6" s="30"/>
      <c r="G6" s="30"/>
      <c r="H6" s="30"/>
      <c r="I6" s="34"/>
      <c r="J6" s="30"/>
      <c r="K6" s="30"/>
      <c r="L6" s="30"/>
      <c r="M6" s="30"/>
    </row>
    <row r="7" spans="1:13" s="38" customFormat="1" x14ac:dyDescent="0.2">
      <c r="A7" s="40" t="s">
        <v>3</v>
      </c>
      <c r="B7" s="66">
        <v>6483000</v>
      </c>
      <c r="C7" s="66">
        <v>8181000</v>
      </c>
      <c r="D7" s="66">
        <v>7424000</v>
      </c>
      <c r="E7" s="40">
        <v>8937000</v>
      </c>
      <c r="F7" s="66">
        <v>10885000</v>
      </c>
      <c r="G7" s="66">
        <v>15132000</v>
      </c>
      <c r="H7" s="66">
        <v>14474000</v>
      </c>
      <c r="I7" s="87">
        <v>9912000</v>
      </c>
      <c r="J7" s="40"/>
      <c r="K7" s="40"/>
      <c r="L7" s="40"/>
      <c r="M7" s="40"/>
    </row>
    <row r="8" spans="1:13" x14ac:dyDescent="0.2">
      <c r="A8" s="9" t="s">
        <v>12</v>
      </c>
      <c r="B8" s="1">
        <f t="shared" ref="B8:G8" si="0">SUM(B3:B7)</f>
        <v>15768000</v>
      </c>
      <c r="C8" s="1">
        <f t="shared" si="0"/>
        <v>16903000</v>
      </c>
      <c r="D8" s="1">
        <f t="shared" si="0"/>
        <v>15432000</v>
      </c>
      <c r="E8" s="1">
        <f t="shared" si="0"/>
        <v>14803000</v>
      </c>
      <c r="F8" s="1">
        <f t="shared" si="0"/>
        <v>17585000</v>
      </c>
      <c r="G8" s="1">
        <f t="shared" si="0"/>
        <v>18467000</v>
      </c>
      <c r="H8" s="1">
        <f>SUM(H3:H7)</f>
        <v>14474000</v>
      </c>
      <c r="I8" s="15">
        <f>SUM(I3:I7)</f>
        <v>9912000</v>
      </c>
      <c r="J8" s="1">
        <f>SUM(J3:J6)</f>
        <v>0</v>
      </c>
      <c r="K8" s="1"/>
      <c r="L8" s="1"/>
      <c r="M8" s="1"/>
    </row>
    <row r="9" spans="1:13" x14ac:dyDescent="0.2">
      <c r="A9" s="9"/>
      <c r="B9"/>
    </row>
    <row r="10" spans="1:13" x14ac:dyDescent="0.2">
      <c r="A10" s="9" t="s">
        <v>16</v>
      </c>
      <c r="B10"/>
    </row>
    <row r="11" spans="1:13" x14ac:dyDescent="0.2">
      <c r="A11" s="13" t="s">
        <v>17</v>
      </c>
      <c r="B11" s="64">
        <v>10000000</v>
      </c>
      <c r="C11" s="64">
        <v>20000000</v>
      </c>
      <c r="D11" s="64">
        <v>10000000</v>
      </c>
      <c r="E11" s="64">
        <v>20000000</v>
      </c>
      <c r="F11" s="64">
        <v>15000000</v>
      </c>
      <c r="G11" s="64">
        <v>15000000</v>
      </c>
      <c r="H11" s="64">
        <v>20000000</v>
      </c>
      <c r="I11" s="85">
        <v>20000000</v>
      </c>
      <c r="J11" s="64">
        <v>20000000</v>
      </c>
      <c r="K11" s="13"/>
      <c r="L11" s="13"/>
      <c r="M11" s="13"/>
    </row>
    <row r="12" spans="1:13" x14ac:dyDescent="0.2">
      <c r="A12" s="13" t="s">
        <v>18</v>
      </c>
      <c r="B12" s="30"/>
      <c r="C12" s="30"/>
      <c r="D12" s="30"/>
      <c r="E12" s="30"/>
      <c r="F12" s="30">
        <v>500000</v>
      </c>
      <c r="G12" s="30"/>
      <c r="H12" s="30"/>
      <c r="I12" s="34"/>
      <c r="J12" s="30"/>
      <c r="K12" s="30"/>
      <c r="L12" s="30"/>
      <c r="M12" s="30"/>
    </row>
    <row r="13" spans="1:13" x14ac:dyDescent="0.2">
      <c r="A13" s="13" t="s">
        <v>24</v>
      </c>
      <c r="B13" s="30">
        <v>20000</v>
      </c>
      <c r="C13" s="30">
        <v>40000</v>
      </c>
      <c r="D13" s="30">
        <v>20000</v>
      </c>
      <c r="E13" s="30">
        <v>20000</v>
      </c>
      <c r="F13" s="30">
        <v>20000</v>
      </c>
      <c r="G13" s="30">
        <v>20000</v>
      </c>
      <c r="H13" s="30">
        <v>20000</v>
      </c>
      <c r="I13" s="34">
        <v>20000</v>
      </c>
      <c r="J13" s="30">
        <v>20000</v>
      </c>
      <c r="K13" s="30"/>
      <c r="L13" s="30"/>
      <c r="M13" s="30"/>
    </row>
    <row r="14" spans="1:13" x14ac:dyDescent="0.2">
      <c r="A14" s="13" t="s">
        <v>19</v>
      </c>
      <c r="B14" s="30"/>
      <c r="C14" s="30"/>
      <c r="D14" s="30"/>
      <c r="E14" s="30"/>
      <c r="F14" s="30"/>
      <c r="G14" s="30"/>
      <c r="H14" s="30"/>
      <c r="I14" s="34"/>
      <c r="J14" s="30"/>
      <c r="K14" s="30"/>
      <c r="L14" s="30"/>
      <c r="M14" s="30"/>
    </row>
    <row r="15" spans="1:13" x14ac:dyDescent="0.2">
      <c r="A15" s="31" t="s">
        <v>13</v>
      </c>
      <c r="B15" s="30">
        <f t="shared" ref="B15:G15" si="1">SUM(B11:B14)</f>
        <v>10020000</v>
      </c>
      <c r="C15" s="30">
        <f t="shared" si="1"/>
        <v>20040000</v>
      </c>
      <c r="D15" s="30">
        <f t="shared" si="1"/>
        <v>10020000</v>
      </c>
      <c r="E15" s="30">
        <f t="shared" si="1"/>
        <v>20020000</v>
      </c>
      <c r="F15" s="30">
        <f t="shared" si="1"/>
        <v>15520000</v>
      </c>
      <c r="G15" s="30">
        <f t="shared" si="1"/>
        <v>15020000</v>
      </c>
      <c r="H15" s="30">
        <f>SUM(H11:H14)</f>
        <v>20020000</v>
      </c>
      <c r="I15" s="34">
        <f>SUM(I11:I14)</f>
        <v>20020000</v>
      </c>
      <c r="J15" s="30">
        <f>SUM(J11:J14)</f>
        <v>20020000</v>
      </c>
      <c r="K15" s="30"/>
      <c r="L15" s="30"/>
      <c r="M15" s="30"/>
    </row>
    <row r="16" spans="1:13" x14ac:dyDescent="0.2">
      <c r="G16" s="67"/>
    </row>
    <row r="17" spans="1:13" x14ac:dyDescent="0.2">
      <c r="A17" s="2" t="s">
        <v>25</v>
      </c>
      <c r="B17" s="30">
        <f t="shared" ref="B17:F17" si="2">B8-B15</f>
        <v>5748000</v>
      </c>
      <c r="C17" s="30">
        <f t="shared" si="2"/>
        <v>-3137000</v>
      </c>
      <c r="D17" s="30">
        <f t="shared" si="2"/>
        <v>5412000</v>
      </c>
      <c r="E17" s="30">
        <f t="shared" si="2"/>
        <v>-5217000</v>
      </c>
      <c r="F17" s="30">
        <f t="shared" si="2"/>
        <v>2065000</v>
      </c>
      <c r="G17" s="30">
        <f>G8-G15</f>
        <v>3447000</v>
      </c>
      <c r="H17" s="30">
        <f>H8-H15</f>
        <v>-5546000</v>
      </c>
      <c r="I17" s="34">
        <f>I8-I15</f>
        <v>-10108000</v>
      </c>
      <c r="J17" s="30"/>
      <c r="K17" s="30"/>
      <c r="L17" s="30"/>
      <c r="M17" s="30"/>
    </row>
    <row r="18" spans="1:13" x14ac:dyDescent="0.2">
      <c r="A18" s="2"/>
      <c r="B18" s="73"/>
      <c r="C18" s="73"/>
      <c r="D18" s="73"/>
      <c r="E18" s="73"/>
      <c r="F18" s="73"/>
      <c r="G18" s="73"/>
      <c r="H18" s="73"/>
      <c r="I18" s="86"/>
      <c r="J18" s="73"/>
      <c r="K18" s="73"/>
      <c r="L18" s="73"/>
      <c r="M18" s="73"/>
    </row>
    <row r="19" spans="1:13" x14ac:dyDescent="0.2">
      <c r="A19" s="74" t="s">
        <v>95</v>
      </c>
      <c r="D19" s="75">
        <v>3330787.07</v>
      </c>
    </row>
    <row r="20" spans="1:13" x14ac:dyDescent="0.2">
      <c r="A20" s="61" t="s">
        <v>12</v>
      </c>
      <c r="B20" s="62"/>
      <c r="C20" s="61"/>
      <c r="D20" s="62">
        <f>D19+B8+C8+D8+E8+F8+G8+H8+I8</f>
        <v>126674787.06999999</v>
      </c>
      <c r="E20" s="67"/>
    </row>
    <row r="21" spans="1:13" ht="16" thickBot="1" x14ac:dyDescent="0.25">
      <c r="A21" s="61" t="s">
        <v>13</v>
      </c>
      <c r="B21" s="62"/>
      <c r="C21" s="61"/>
      <c r="D21" s="61">
        <f>B15+C15+D15+E15+F15+G15+H15+I15</f>
        <v>130680000</v>
      </c>
    </row>
    <row r="22" spans="1:13" ht="17" thickBot="1" x14ac:dyDescent="0.25">
      <c r="A22" s="61" t="s">
        <v>58</v>
      </c>
      <c r="B22" s="62"/>
      <c r="C22" s="61"/>
      <c r="D22" s="63">
        <f>D20-D21</f>
        <v>-4005212.9300000072</v>
      </c>
      <c r="E22" s="67">
        <f>B17+C17+D17+E17+F17+G17+H17+I17</f>
        <v>-7336000</v>
      </c>
      <c r="F22" s="83">
        <f>D22-E22</f>
        <v>3330787.0699999928</v>
      </c>
      <c r="G22" t="s">
        <v>109</v>
      </c>
    </row>
    <row r="23" spans="1:13" x14ac:dyDescent="0.2">
      <c r="C23" s="20" t="s">
        <v>110</v>
      </c>
      <c r="D23" s="67"/>
      <c r="E23" s="82">
        <v>45579</v>
      </c>
    </row>
    <row r="24" spans="1:13" x14ac:dyDescent="0.2">
      <c r="C24" s="20" t="s">
        <v>113</v>
      </c>
      <c r="D24" s="67"/>
      <c r="E24" s="67" t="s">
        <v>120</v>
      </c>
      <c r="F24" t="s">
        <v>112</v>
      </c>
    </row>
    <row r="25" spans="1:13" x14ac:dyDescent="0.2">
      <c r="E25" s="88">
        <v>825000</v>
      </c>
      <c r="F25" t="s">
        <v>121</v>
      </c>
    </row>
  </sheetData>
  <customSheetViews>
    <customSheetView guid="{B2A5A4D4-6CB8-42F5-BC08-2FAB393FA19C}">
      <pane ySplit="1" topLeftCell="A2" activePane="bottomLeft" state="frozen"/>
      <selection pane="bottomLeft" activeCell="E19" sqref="E19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HISA</vt:lpstr>
      <vt:lpstr>JAMII</vt:lpstr>
      <vt:lpstr>FAINI</vt:lpstr>
      <vt:lpstr>MIKOPO NA RIBA</vt:lpstr>
      <vt:lpstr>MAREJESHO</vt:lpstr>
      <vt:lpstr>CASHFLOW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2025-06-07T16:15:06Z</dcterms:modified>
</cp:coreProperties>
</file>